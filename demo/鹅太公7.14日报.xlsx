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门店" sheetId="1" r:id="rId1"/>
    <sheet name="看板表" sheetId="2" r:id="rId2"/>
    <sheet name="数据源表A" sheetId="3" r:id="rId3"/>
  </sheets>
  <definedNames>
    <definedName name="_xlnm._FilterDatabase" localSheetId="0" hidden="1">门店!$A$1:$A$93</definedName>
    <definedName name="_xlnm._FilterDatabase" localSheetId="2" hidden="1">数据源表A!$B$1:$B$180</definedName>
    <definedName name="_xlnm._FilterDatabase" localSheetId="1" hidden="1">看板表!$A$1:$AB$17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<sst xmlns="http://schemas.openxmlformats.org/spreadsheetml/2006/main" count="289" uniqueCount="156">
  <si>
    <t>营业额</t>
  </si>
  <si>
    <t>门店</t>
  </si>
  <si>
    <t>总和</t>
  </si>
  <si>
    <t>鹅太公烧鹅（上排店）</t>
  </si>
  <si>
    <t>鹅太公烧鹅（下埔店）</t>
  </si>
  <si>
    <t>鹅太公烧鹅（东平三院店）</t>
  </si>
  <si>
    <t>鹅太公烧鹅（东平半岛店）</t>
  </si>
  <si>
    <t>鹅太公烧鹅（华侨城店）</t>
  </si>
  <si>
    <t>鹅太公烧鹅（博罗店）</t>
  </si>
  <si>
    <t>鹅太公烧鹅（坂田店）</t>
  </si>
  <si>
    <t>鹅太公烧鹅（方洲店）</t>
  </si>
  <si>
    <t>鹅太公烧鹅（普宁店）</t>
  </si>
  <si>
    <t>鹅太公烧鹅（普宁溪尾店）</t>
  </si>
  <si>
    <t>鹅太公烧鹅（未来城店）</t>
  </si>
  <si>
    <t>鹅太公烧鹅（欧景花园店）</t>
  </si>
  <si>
    <t>鹅太公烧鹅（水口店）</t>
  </si>
  <si>
    <t>鹅太公烧鹅（江北旺岗店）</t>
  </si>
  <si>
    <t>鹅太公烧鹅（港惠店）</t>
  </si>
  <si>
    <t>鹅太公烧鹅（麦地店）</t>
  </si>
  <si>
    <t>鹅太公烧鹅（龙岗万科店）</t>
  </si>
  <si>
    <t>收 银 系 统 每 日 高 低 位 数 据</t>
  </si>
  <si>
    <t>排名</t>
  </si>
  <si>
    <t>门店名称</t>
  </si>
  <si>
    <t>实收</t>
  </si>
  <si>
    <t>有效订单</t>
  </si>
  <si>
    <t>一键买单（尾款）</t>
  </si>
  <si>
    <t>美团团购</t>
  </si>
  <si>
    <t>抖音团购</t>
  </si>
  <si>
    <t>会员卡</t>
  </si>
  <si>
    <t>优惠券</t>
  </si>
  <si>
    <t>店内+自提收入</t>
  </si>
  <si>
    <t>优惠金额</t>
  </si>
  <si>
    <t>优惠占比</t>
  </si>
  <si>
    <t>店内销售</t>
  </si>
  <si>
    <t>自提销售</t>
  </si>
  <si>
    <t>美团外卖</t>
  </si>
  <si>
    <t>淘宝闪购</t>
  </si>
  <si>
    <t>京东外卖</t>
  </si>
  <si>
    <t>美团一键买单</t>
  </si>
  <si>
    <t>储值消费</t>
  </si>
  <si>
    <t>TOP1</t>
  </si>
  <si>
    <t>TOP2</t>
  </si>
  <si>
    <t>TOP3</t>
  </si>
  <si>
    <t>最差3</t>
  </si>
  <si>
    <t>最差2</t>
  </si>
  <si>
    <t>最差1</t>
  </si>
  <si>
    <t>全部门店总业绩</t>
  </si>
  <si>
    <t>堂食收入</t>
  </si>
  <si>
    <t>堂食收入占比</t>
  </si>
  <si>
    <t>折前单均</t>
  </si>
  <si>
    <t>折后单均</t>
  </si>
  <si>
    <t>美团单量</t>
  </si>
  <si>
    <t>实收占比</t>
  </si>
  <si>
    <t>淘宝闪购单量</t>
  </si>
  <si>
    <t>京东单量</t>
  </si>
  <si>
    <t>城市</t>
  </si>
  <si>
    <t>营业日</t>
  </si>
  <si>
    <t>门店创建时间</t>
  </si>
  <si>
    <t>营业天数</t>
  </si>
  <si>
    <t>营业额(元)</t>
  </si>
  <si>
    <t>优惠金额(元)</t>
  </si>
  <si>
    <t>营业收入(元)</t>
  </si>
  <si>
    <t>订单量</t>
  </si>
  <si>
    <t>用餐人数</t>
  </si>
  <si>
    <t>消费桌数</t>
  </si>
  <si>
    <t>折前人均(元)</t>
  </si>
  <si>
    <t>折后人均(元)</t>
  </si>
  <si>
    <t>折前单均(元)</t>
  </si>
  <si>
    <t>折后单均(元)</t>
  </si>
  <si>
    <t>开台率</t>
  </si>
  <si>
    <t>翻台率</t>
  </si>
  <si>
    <t>上座率</t>
  </si>
  <si>
    <t>平均用餐时长(分钟)</t>
  </si>
  <si>
    <t>渠道营业构成</t>
  </si>
  <si>
    <t>销售品项收入构成</t>
  </si>
  <si>
    <t>营业收入构成</t>
  </si>
  <si>
    <t>支付优惠构成</t>
  </si>
  <si>
    <t>折扣优惠构成</t>
  </si>
  <si>
    <t>京东秒送</t>
  </si>
  <si>
    <t>菜品销售</t>
  </si>
  <si>
    <t>外卖餐盒费</t>
  </si>
  <si>
    <t>现金</t>
  </si>
  <si>
    <t>扫码支付</t>
  </si>
  <si>
    <t>美团/大众点评团购</t>
  </si>
  <si>
    <t>外卖</t>
  </si>
  <si>
    <t>小计</t>
  </si>
  <si>
    <t>手动折扣</t>
  </si>
  <si>
    <t>店内促销</t>
  </si>
  <si>
    <t>会员权益</t>
  </si>
  <si>
    <t>抹零</t>
  </si>
  <si>
    <t>菜品销量</t>
  </si>
  <si>
    <t>卡余额消费-赠送余额</t>
  </si>
  <si>
    <t>【太公烧味】100元代金券</t>
  </si>
  <si>
    <t>【招牌必点】太公烧鹅拼叉烧饭单人餐（含柠檬茶+靓汤）</t>
  </si>
  <si>
    <t>【斩料节专享】金牌烧鸭饭+柠檬茶单人餐（含靓汤/小菜）</t>
  </si>
  <si>
    <t>【新品尝鲜】葱香叉烧滑蛋饭+上头柠檬茶（含靓汤）</t>
  </si>
  <si>
    <t>【新品尝鲜】葱香叉烧滑蛋饭（含柠檬茶+靓汤）</t>
  </si>
  <si>
    <t>【每日限量】战斧大鹅翅濑粉单人餐（现熬生地汤底）</t>
  </si>
  <si>
    <t>【超值】金牌烧鸭饭+柠檬茶（含靓汤/小菜）</t>
  </si>
  <si>
    <t>【超值优惠】50元代金券</t>
  </si>
  <si>
    <t>太公招牌烧鹅三宝饭+柠檬茶</t>
  </si>
  <si>
    <t>干饭双人餐-工作日特惠</t>
  </si>
  <si>
    <t>暑期福利-招牌烧鹅（约100g）</t>
  </si>
  <si>
    <t>超值加料-金牌烧鸭100g</t>
  </si>
  <si>
    <t>鸡-鸭-鹅畅享四人餐</t>
  </si>
  <si>
    <t>100元代金券太公烧味</t>
  </si>
  <si>
    <t>50元代金券全场通用</t>
  </si>
  <si>
    <t>【太公推荐】金牌烧鸭拼叉烧饭单人餐（含靓汤+柠檬茶）</t>
  </si>
  <si>
    <t>【太公爆品】金牌烧鸭饭+柠檬茶单人餐（含靓汤/小菜）</t>
  </si>
  <si>
    <t>【抖音】【太公推荐】金牌烧鸭拼叉烧饭单人餐（含靓汤+柠檬茶）</t>
  </si>
  <si>
    <t>【抖音】【斩料节专享】太公烧鹅拼叉烧饭单人餐（含靓汤+柠檬茶）</t>
  </si>
  <si>
    <t>【抖音】【每日限量】战斧大鹅翅烧鹅濑粉(现熬生地汤底)</t>
  </si>
  <si>
    <t>【斩料节专享】太公烧鹅拼叉烧饭单人餐（含靓汤+柠檬茶）</t>
  </si>
  <si>
    <t>【斩料节专享】金牌烧鸭半只（砍料外带）</t>
  </si>
  <si>
    <t>【新品尝鲜】葱香叉烧滑蛋饭+柠檬茶单人餐（含靓汤/小菜）</t>
  </si>
  <si>
    <t>【暑价特惠】蜜汁叉烧饭单人餐（含例汤+柠檬茶）</t>
  </si>
  <si>
    <t>【每日限量】战斧大鹅翅烧鹅濑粉(现熬生地汤底)</t>
  </si>
  <si>
    <t>【点亮门店】上头柠檬茶一杯</t>
  </si>
  <si>
    <t>【鲜烧鲜卖】金牌烧鸭+叉烧例牌双人餐（含时蔬/柠檬茶）</t>
  </si>
  <si>
    <t>（超值单品）金牌烧鸭100g</t>
  </si>
  <si>
    <t>手动赠菜</t>
  </si>
  <si>
    <t>菜品手动8折</t>
  </si>
  <si>
    <t>菜品手动9折</t>
  </si>
  <si>
    <t>订单手动8.8折</t>
  </si>
  <si>
    <t>订单手动8折</t>
  </si>
  <si>
    <t>订单手动减免</t>
  </si>
  <si>
    <t>保利上城店开业活动</t>
  </si>
  <si>
    <t>未来店7.13-7.16试营业8.8折</t>
  </si>
  <si>
    <t>会员价</t>
  </si>
  <si>
    <t>购招牌双拼饭换购柠檬茶-鹅太公</t>
  </si>
  <si>
    <t>【金鹅卡】5元代金券</t>
  </si>
  <si>
    <t>手动抹零</t>
  </si>
  <si>
    <t>惠州市</t>
  </si>
  <si>
    <t>2026/07/15</t>
  </si>
  <si>
    <t>2025-09-24 15:34:42</t>
  </si>
  <si>
    <t>2025-09-20 15:53:45</t>
  </si>
  <si>
    <t>2026-04-29 11:14:45</t>
  </si>
  <si>
    <t>2026-03-28 15:48:48</t>
  </si>
  <si>
    <t>深圳市</t>
  </si>
  <si>
    <t>鹅太公烧鹅（保利上城店）</t>
  </si>
  <si>
    <t>2026-07-07 11:42:16</t>
  </si>
  <si>
    <t>2025-11-06 12:57:48</t>
  </si>
  <si>
    <t>2025-12-01 13:02:59</t>
  </si>
  <si>
    <t>2026-03-20 20:18:08</t>
  </si>
  <si>
    <t>2026-06-09 09:38:17</t>
  </si>
  <si>
    <t>揭阳市</t>
  </si>
  <si>
    <t>2025-08-14 21:26:09</t>
  </si>
  <si>
    <t>2026-01-21 11:36:33</t>
  </si>
  <si>
    <t>鹅太公烧鹅（未来花园店）</t>
  </si>
  <si>
    <t>2026-07-07 11:40:46</t>
  </si>
  <si>
    <t>2026-03-20 20:19:02</t>
  </si>
  <si>
    <t>2025-09-24 14:25:09</t>
  </si>
  <si>
    <t>2025-08-14 21:27:47</t>
  </si>
  <si>
    <t>2025-08-18 09:57:47</t>
  </si>
  <si>
    <t>2025-06-10 11:32:09</t>
  </si>
  <si>
    <t>2026-03-20 20:17:08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</si>
</sst>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&quot;-&quot;#,##0;#,##0;General"/>
    <numFmt numFmtId="177" formatCode="#,##0.00;&quot;-&quot;#,##0.00;#,##0.00;General"/>
    <numFmt numFmtId="178" formatCode="#,##0.00%;&quot;-&quot;#,##0.00%;#,##0.00%;General"/>
    <numFmt numFmtId="179" formatCode="#,##0.0##;&quot;-&quot;#,##0.0##;#,##0.0##;General"/>
    <numFmt numFmtId="180" formatCode="0.00_);[Red]\(0.00\)"/>
  </numFmts>
  <fonts count="38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b/>
      <sz val="22"/>
      <color theme="1"/>
      <name val="微软雅黑"/>
      <charset val="134"/>
    </font>
    <font>
      <sz val="11"/>
      <color theme="2" tint="-0.5"/>
      <name val="宋体"/>
      <charset val="134"/>
      <scheme val="minor"/>
    </font>
    <font>
      <b/>
      <sz val="16"/>
      <color theme="1"/>
      <name val="微软雅黑"/>
      <charset val="134"/>
    </font>
    <font>
      <b/>
      <sz val="22"/>
      <color rgb="FF00B0F0"/>
      <name val="微软雅黑"/>
      <charset val="134"/>
    </font>
    <font>
      <b/>
      <sz val="36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B0F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2"/>
      <color theme="2" tint="-0.5"/>
      <name val="微软雅黑"/>
      <charset val="134"/>
    </font>
    <font>
      <b/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0.5"/>
      <color rgb="FF222222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8" applyNumberFormat="0" applyAlignment="0" applyProtection="0">
      <alignment vertical="center"/>
    </xf>
    <xf numFmtId="0" fontId="28" fillId="9" borderId="19" applyNumberFormat="0" applyAlignment="0" applyProtection="0">
      <alignment vertical="center"/>
    </xf>
    <xf numFmtId="0" fontId="29" fillId="9" borderId="18" applyNumberFormat="0" applyAlignment="0" applyProtection="0">
      <alignment vertical="center"/>
    </xf>
    <xf numFmtId="0" fontId="30" fillId="10" borderId="20" applyNumberFormat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177" fontId="2" fillId="0" borderId="1" xfId="0" applyNumberFormat="1" applyFont="1" applyFill="1" applyBorder="1" applyAlignment="1">
      <alignment horizontal="right" vertical="center" wrapText="1"/>
    </xf>
    <xf numFmtId="178" fontId="2" fillId="0" borderId="1" xfId="0" applyNumberFormat="1" applyFont="1" applyFill="1" applyBorder="1" applyAlignment="1">
      <alignment horizontal="right" vertical="center" wrapText="1"/>
    </xf>
    <xf numFmtId="179" fontId="2" fillId="0" borderId="1" xfId="0" applyNumberFormat="1" applyFon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Fill="1" applyBorder="1" applyAlignment="1">
      <alignment horizontal="center" vertical="center"/>
    </xf>
    <xf numFmtId="14" fontId="8" fillId="0" borderId="0" xfId="0" applyNumberFormat="1" applyFont="1" applyFill="1" applyBorder="1" applyAlignment="1">
      <alignment horizontal="center" vertical="center"/>
    </xf>
    <xf numFmtId="14" fontId="8" fillId="0" borderId="0" xfId="0" applyNumberFormat="1" applyFont="1" applyFill="1" applyBorder="1" applyAlignment="1">
      <alignment vertical="center"/>
    </xf>
    <xf numFmtId="14" fontId="8" fillId="0" borderId="0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7" fontId="8" fillId="3" borderId="1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180" fontId="9" fillId="4" borderId="7" xfId="0" applyNumberFormat="1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10" fontId="8" fillId="3" borderId="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80" fontId="8" fillId="3" borderId="1" xfId="0" applyNumberFormat="1" applyFont="1" applyFill="1" applyBorder="1" applyAlignment="1">
      <alignment horizontal="center" vertical="center"/>
    </xf>
    <xf numFmtId="180" fontId="8" fillId="3" borderId="6" xfId="0" applyNumberFormat="1" applyFont="1" applyFill="1" applyBorder="1" applyAlignment="1">
      <alignment horizontal="center" vertical="center"/>
    </xf>
    <xf numFmtId="180" fontId="8" fillId="4" borderId="9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80" fontId="8" fillId="3" borderId="9" xfId="0" applyNumberFormat="1" applyFont="1" applyFill="1" applyBorder="1" applyAlignment="1">
      <alignment horizontal="center" vertical="center"/>
    </xf>
    <xf numFmtId="10" fontId="8" fillId="3" borderId="9" xfId="0" applyNumberFormat="1" applyFont="1" applyFill="1" applyBorder="1" applyAlignment="1">
      <alignment horizontal="center" vertical="center"/>
    </xf>
    <xf numFmtId="0" fontId="8" fillId="0" borderId="0" xfId="0" applyFont="1" applyFill="1" applyBorder="1">
      <alignment vertical="center"/>
    </xf>
    <xf numFmtId="180" fontId="8" fillId="0" borderId="0" xfId="0" applyNumberFormat="1" applyFont="1" applyFill="1" applyBorder="1" applyAlignment="1">
      <alignment horizontal="center" vertical="center"/>
    </xf>
    <xf numFmtId="180" fontId="0" fillId="3" borderId="9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7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7" fontId="11" fillId="0" borderId="0" xfId="0" applyNumberFormat="1" applyFont="1" applyBorder="1" applyAlignment="1">
      <alignment horizontal="center" vertical="center"/>
    </xf>
    <xf numFmtId="10" fontId="10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7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0" fontId="10" fillId="0" borderId="13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12" fillId="0" borderId="0" xfId="0" applyFont="1">
      <alignment vertical="center"/>
    </xf>
    <xf numFmtId="7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7" fontId="8" fillId="4" borderId="1" xfId="0" applyNumberFormat="1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7" fontId="13" fillId="0" borderId="1" xfId="0" applyNumberFormat="1" applyFont="1" applyBorder="1" applyAlignment="1">
      <alignment horizontal="center" vertical="center"/>
    </xf>
    <xf numFmtId="7" fontId="13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7" fontId="8" fillId="0" borderId="1" xfId="0" applyNumberFormat="1" applyFont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7" fontId="8" fillId="0" borderId="7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80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80" fontId="15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0" fontId="14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workbookViewId="0">
      <selection activeCell="F19" sqref="F19"/>
    </sheetView>
  </sheetViews>
  <sheetFormatPr defaultColWidth="9" defaultRowHeight="17.25" outlineLevelCol="6"/>
  <cols>
    <col min="1" max="1" width="14.5" style="56" customWidth="1"/>
    <col min="2" max="2" width="31.8833333333333" style="81" customWidth="1"/>
    <col min="3" max="4" width="9" style="82"/>
    <col min="5" max="5" width="10.3833333333333" style="82" customWidth="1"/>
    <col min="6" max="6" width="9" style="82"/>
    <col min="7" max="7" width="10.3833333333333" style="82"/>
    <col min="8" max="8" width="9" style="82"/>
    <col min="9" max="9" width="56.6333333333333" style="82" customWidth="1"/>
    <col min="10" max="16384" width="9" style="82"/>
  </cols>
  <sheetData>
    <row r="1" spans="1:7">
      <c r="A1" s="56" t="s">
        <v>0</v>
      </c>
      <c r="B1" s="81" t="s">
        <v>1</v>
      </c>
      <c r="D1" s="82" t="s">
        <v>2</v>
      </c>
      <c r="E1" s="82">
        <f>SUM(A:A)</f>
        <v>101198.66</v>
      </c>
      <c r="G1" s="82">
        <f>看板表!C18</f>
        <v>115631.46</v>
      </c>
    </row>
    <row r="2" spans="1:7">
      <c r="A2" s="56">
        <f>SUMIF(数据源表A!B:B,B2,数据源表A!F:F)</f>
        <v>3695.02</v>
      </c>
      <c r="B2" s="83" t="s">
        <v>3</v>
      </c>
    </row>
    <row r="3" spans="1:7">
      <c r="A3" s="56">
        <f>SUMIF(数据源表A!B:B,B3,数据源表A!F:F)</f>
        <v>5924.51</v>
      </c>
      <c r="B3" s="83" t="s">
        <v>4</v>
      </c>
    </row>
    <row r="4" spans="1:7">
      <c r="A4" s="56">
        <f>SUMIF(数据源表A!B:B,B4,数据源表A!F:F)</f>
        <v>3425.3</v>
      </c>
      <c r="B4" s="83" t="s">
        <v>5</v>
      </c>
    </row>
    <row r="5" spans="1:7">
      <c r="A5" s="56">
        <f>SUMIF(数据源表A!B:B,B5,数据源表A!F:F)</f>
        <v>5636.46</v>
      </c>
      <c r="B5" s="83" t="s">
        <v>6</v>
      </c>
    </row>
    <row r="6" spans="1:7">
      <c r="A6" s="56">
        <f>SUMIF(数据源表A!B:B,B6,数据源表A!F:F)</f>
        <v>5649.76</v>
      </c>
      <c r="B6" s="83" t="s">
        <v>7</v>
      </c>
    </row>
    <row r="7" spans="1:7">
      <c r="A7" s="56">
        <f>SUMIF(数据源表A!B:B,B7,数据源表A!F:F)</f>
        <v>9381.7</v>
      </c>
      <c r="B7" s="83" t="s">
        <v>8</v>
      </c>
    </row>
    <row r="8" spans="1:7">
      <c r="A8" s="56">
        <f>SUMIF(数据源表A!B:B,B8,数据源表A!F:F)</f>
        <v>8178.26</v>
      </c>
      <c r="B8" s="83" t="s">
        <v>9</v>
      </c>
    </row>
    <row r="9" spans="1:7">
      <c r="A9" s="56">
        <f>SUMIF(数据源表A!B:B,B9,数据源表A!F:F)</f>
        <v>3972</v>
      </c>
      <c r="B9" s="83" t="s">
        <v>10</v>
      </c>
    </row>
    <row r="10" spans="1:7">
      <c r="A10" s="56">
        <f>SUMIF(数据源表A!B:B,B10,数据源表A!F:F)</f>
        <v>6075.55</v>
      </c>
      <c r="B10" s="83" t="s">
        <v>11</v>
      </c>
    </row>
    <row r="11" spans="1:7">
      <c r="A11" s="56">
        <f>SUMIF(数据源表A!B:B,B11,数据源表A!F:F)</f>
        <v>7770.7</v>
      </c>
      <c r="B11" s="83" t="s">
        <v>12</v>
      </c>
    </row>
    <row r="12" spans="1:7">
      <c r="A12" s="56">
        <f>SUMIF(数据源表A!B:B,B12,数据源表A!F:F)</f>
        <v>0</v>
      </c>
      <c r="B12" s="83" t="s">
        <v>13</v>
      </c>
    </row>
    <row r="13" spans="1:7">
      <c r="A13" s="56">
        <f>SUMIF(数据源表A!B:B,B13,数据源表A!F:F)</f>
        <v>8533.79</v>
      </c>
      <c r="B13" s="83" t="s">
        <v>14</v>
      </c>
    </row>
    <row r="14" spans="1:7">
      <c r="A14" s="56">
        <f>SUMIF(数据源表A!B:B,B14,数据源表A!F:F)</f>
        <v>3644.8</v>
      </c>
      <c r="B14" s="83" t="s">
        <v>15</v>
      </c>
    </row>
    <row r="15" spans="1:7">
      <c r="A15" s="56">
        <f>SUMIF(数据源表A!B:B,B15,数据源表A!F:F)</f>
        <v>7727.74</v>
      </c>
      <c r="B15" s="83" t="s">
        <v>16</v>
      </c>
    </row>
    <row r="16" spans="1:7">
      <c r="A16" s="56">
        <f>SUMIF(数据源表A!B:B,B16,数据源表A!F:F)</f>
        <v>4560.3</v>
      </c>
      <c r="B16" s="83" t="s">
        <v>17</v>
      </c>
    </row>
    <row r="17" spans="1:2">
      <c r="A17" s="56">
        <f>SUMIF(数据源表A!B:B,B17,数据源表A!F:F)</f>
        <v>7043.29</v>
      </c>
      <c r="B17" s="83" t="s">
        <v>18</v>
      </c>
    </row>
    <row r="18" spans="1:2">
      <c r="A18" s="56">
        <f>SUMIF(数据源表A!B:B,B18,数据源表A!F:F)</f>
        <v>9979.48</v>
      </c>
      <c r="B18" s="83" t="s">
        <v>19</v>
      </c>
    </row>
    <row r="19" spans="1:2">
      <c r="B19" s="84"/>
    </row>
    <row r="20" spans="1:2">
      <c r="B20" s="84"/>
    </row>
    <row r="21" spans="1:2">
      <c r="B21" s="85"/>
    </row>
    <row r="22" spans="1:2">
      <c r="B22" s="84"/>
    </row>
    <row r="23" spans="1:2">
      <c r="B23" s="85"/>
    </row>
    <row r="24" spans="1:2">
      <c r="B24" s="85"/>
    </row>
    <row r="25" spans="1:2">
      <c r="B25" s="84"/>
    </row>
    <row r="26" spans="1:2">
      <c r="B26" s="84"/>
    </row>
    <row r="27" spans="1:2">
      <c r="B27" s="86"/>
    </row>
    <row r="28" spans="1:2">
      <c r="B28" s="84"/>
    </row>
    <row r="29" spans="1:2">
      <c r="B29" s="87"/>
    </row>
    <row r="30" spans="1:2">
      <c r="B30" s="84"/>
    </row>
    <row r="32" spans="1:2">
      <c r="B32" s="84"/>
    </row>
    <row r="33" spans="2:2">
      <c r="B33" s="84"/>
    </row>
    <row r="34" spans="2:2">
      <c r="B34" s="84"/>
    </row>
    <row r="35" spans="2:2">
      <c r="B35" s="84"/>
    </row>
    <row r="36" spans="2:2">
      <c r="B36" s="84"/>
    </row>
    <row r="37" spans="2:2">
      <c r="B37" s="84"/>
    </row>
    <row r="38" spans="2:2">
      <c r="B38" s="85"/>
    </row>
    <row r="39" spans="2:2">
      <c r="B39" s="85"/>
    </row>
    <row r="40" spans="2:2">
      <c r="B40" s="84"/>
    </row>
    <row r="41" spans="2:2">
      <c r="B41" s="84"/>
    </row>
    <row r="42" spans="2:2">
      <c r="B42" s="84"/>
    </row>
    <row r="43" spans="2:2">
      <c r="B43" s="84"/>
    </row>
    <row r="44" spans="2:2">
      <c r="B44" s="84"/>
    </row>
    <row r="45" spans="2:2">
      <c r="B45" s="84"/>
    </row>
    <row r="46" spans="2:2">
      <c r="B46" s="84"/>
    </row>
    <row r="47" spans="2:2">
      <c r="B47" s="87"/>
    </row>
    <row r="48" spans="2:2">
      <c r="B48" s="85"/>
    </row>
    <row r="49" spans="2:2">
      <c r="B49" s="84"/>
    </row>
    <row r="50" spans="2:2">
      <c r="B50" s="85"/>
    </row>
    <row r="51" spans="2:2">
      <c r="B51" s="88"/>
    </row>
    <row r="52" spans="2:2">
      <c r="B52" s="84"/>
    </row>
    <row r="53" spans="2:2">
      <c r="B53" s="84"/>
    </row>
    <row r="54" spans="2:2">
      <c r="B54" s="89"/>
    </row>
    <row r="55" spans="2:2">
      <c r="B55" s="84"/>
    </row>
    <row r="56" spans="2:2">
      <c r="B56" s="84"/>
    </row>
    <row r="57" spans="2:2">
      <c r="B57" s="85"/>
    </row>
    <row r="58" spans="2:2">
      <c r="B58" s="84"/>
    </row>
    <row r="61" spans="2:2">
      <c r="B61" s="84"/>
    </row>
    <row r="62" spans="2:2">
      <c r="B62" s="85"/>
    </row>
    <row r="63" spans="2:2">
      <c r="B63" s="85"/>
    </row>
    <row r="64" spans="2:2">
      <c r="B64" s="84"/>
    </row>
    <row r="65" spans="2:2">
      <c r="B65" s="84"/>
    </row>
    <row r="66" spans="2:2">
      <c r="B66" s="90"/>
    </row>
    <row r="67" spans="2:2">
      <c r="B67" s="90"/>
    </row>
    <row r="68" spans="2:2">
      <c r="B68" s="90"/>
    </row>
    <row r="69" spans="2:2">
      <c r="B69" s="83"/>
    </row>
    <row r="70" spans="2:2">
      <c r="B70" s="90"/>
    </row>
    <row r="71" spans="2:2">
      <c r="B71" s="90"/>
    </row>
    <row r="72" spans="2:2">
      <c r="B72" s="90"/>
    </row>
    <row r="73" spans="2:2">
      <c r="B73" s="83"/>
    </row>
    <row r="74" spans="2:2">
      <c r="B74" s="90"/>
    </row>
    <row r="75" spans="2:2">
      <c r="B75" s="91"/>
    </row>
    <row r="76" spans="2:2">
      <c r="B76" s="90"/>
    </row>
    <row r="78" spans="2:2">
      <c r="B78" s="85"/>
    </row>
    <row r="79" spans="2:2">
      <c r="B79" s="92"/>
    </row>
    <row r="80" spans="2:2">
      <c r="B80" s="90"/>
    </row>
    <row r="81" spans="2:2">
      <c r="B81" s="83"/>
    </row>
    <row r="82" spans="2:2">
      <c r="B82" s="83"/>
    </row>
    <row r="83" spans="2:2">
      <c r="B83" s="83"/>
    </row>
    <row r="84" spans="2:2">
      <c r="B84" s="83"/>
    </row>
    <row r="85" spans="2:2">
      <c r="B85" s="83"/>
    </row>
    <row r="86" spans="2:2">
      <c r="B86" s="83"/>
    </row>
    <row r="87" spans="2:2">
      <c r="B87" s="83"/>
    </row>
    <row r="88" spans="2:2">
      <c r="B88" s="83"/>
    </row>
    <row r="89" spans="2:2">
      <c r="B89" s="83"/>
    </row>
    <row r="90" spans="2:2">
      <c r="B90" s="83"/>
    </row>
    <row r="91" spans="2:2">
      <c r="B91" s="83"/>
    </row>
    <row r="92" spans="2:2">
      <c r="B92" s="83"/>
    </row>
    <row r="93" spans="2:2">
      <c r="B93" s="83"/>
    </row>
  </sheetData>
  <autoFilter xmlns:etc="http://www.wps.cn/officeDocument/2017/etCustomData" ref="A1:A93" etc:filterBottomFollowUsedRange="0">
    <extLst/>
  </autoFilter>
  <sortState ref="A2:C90">
    <sortCondition ref="A2" descending="1"/>
  </sortState>
  <conditionalFormatting sqref="C$1:C$1048576">
    <cfRule type="duplicateValues" dxfId="0" priority="14"/>
  </conditionalFormatting>
  <conditionalFormatting sqref="B1 B19:B1048576">
    <cfRule type="duplicateValues" dxfId="0" priority="27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7"/>
  <sheetViews>
    <sheetView showGridLines="0" tabSelected="1" zoomScale="85" zoomScaleNormal="85" workbookViewId="0">
      <selection activeCell="E28" sqref="E28"/>
    </sheetView>
  </sheetViews>
  <sheetFormatPr defaultColWidth="9" defaultRowHeight="13.5"/>
  <cols>
    <col min="1" max="1" width="17.5" customWidth="1"/>
    <col min="2" max="2" width="25.8833333333333" customWidth="1"/>
    <col min="3" max="4" width="15.625" customWidth="1"/>
    <col min="5" max="5" width="11.25" customWidth="1"/>
    <col min="6" max="6" width="13.75" customWidth="1"/>
    <col min="7" max="7" width="11.5" customWidth="1"/>
    <col min="8" max="10" width="13.75" customWidth="1"/>
    <col min="11" max="11" width="18.25" customWidth="1"/>
    <col min="12" max="12" width="13.75" customWidth="1"/>
    <col min="13" max="16" width="16" customWidth="1"/>
    <col min="17" max="17" width="12.5" customWidth="1"/>
    <col min="18" max="18" width="9.38333333333333" customWidth="1"/>
    <col min="19" max="19" width="10.3833333333333" customWidth="1"/>
    <col min="20" max="20" width="11.5" customWidth="1"/>
    <col min="21" max="21" width="12.6333333333333"/>
    <col min="24" max="24" width="12.6333333333333"/>
    <col min="25" max="25" width="9.38333333333333"/>
    <col min="26" max="26" width="12.6333333333333"/>
    <col min="27" max="27" width="9.25"/>
    <col min="28" max="28" width="9.38333333333333" customWidth="1"/>
    <col min="29" max="29" width="9.38333333333333"/>
    <col min="30" max="30" width="12.6333333333333"/>
    <col min="31" max="32" width="9" hidden="1" customWidth="1"/>
  </cols>
  <sheetData>
    <row r="1" s="8" customFormat="1" ht="47" customHeight="1" spans="1:32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="9" customFormat="1" ht="10" customHeight="1" spans="1:32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ht="58" customHeight="1" spans="1:32">
      <c r="A3" s="17">
        <v>46218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0" customHeight="1" spans="1:32">
      <c r="A4" s="21"/>
      <c r="B4" s="22"/>
      <c r="C4" s="23"/>
      <c r="D4" s="24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9" customHeight="1" spans="1:32">
      <c r="A5" s="25" t="s">
        <v>21</v>
      </c>
      <c r="B5" s="26" t="s">
        <v>22</v>
      </c>
      <c r="C5" s="27" t="s">
        <v>0</v>
      </c>
      <c r="D5" s="27" t="s">
        <v>23</v>
      </c>
      <c r="E5" s="26" t="s">
        <v>24</v>
      </c>
      <c r="F5" s="25" t="s">
        <v>23</v>
      </c>
      <c r="G5" s="25"/>
      <c r="H5" s="25"/>
      <c r="I5" s="25"/>
      <c r="J5" s="28"/>
      <c r="K5" s="29" t="s">
        <v>25</v>
      </c>
      <c r="L5" s="29" t="s">
        <v>26</v>
      </c>
      <c r="M5" s="30" t="s">
        <v>27</v>
      </c>
      <c r="N5" s="30" t="s">
        <v>28</v>
      </c>
      <c r="O5" s="30" t="s">
        <v>29</v>
      </c>
      <c r="P5" s="31" t="s">
        <v>30</v>
      </c>
      <c r="Q5" s="32" t="s">
        <v>31</v>
      </c>
      <c r="R5" s="33" t="s">
        <v>32</v>
      </c>
      <c r="S5" s="34"/>
      <c r="U5" s="34"/>
      <c r="V5" s="34"/>
      <c r="W5" s="34"/>
      <c r="X5" s="34"/>
      <c r="Y5" s="34"/>
      <c r="Z5" s="34"/>
      <c r="AA5" s="34"/>
      <c r="AB5" s="35"/>
    </row>
    <row r="6" ht="39" customHeight="1" spans="1:32">
      <c r="A6" s="25"/>
      <c r="B6" s="26"/>
      <c r="C6" s="27"/>
      <c r="D6" s="27"/>
      <c r="E6" s="26"/>
      <c r="F6" s="25" t="s">
        <v>33</v>
      </c>
      <c r="G6" s="26" t="s">
        <v>34</v>
      </c>
      <c r="H6" s="26" t="s">
        <v>35</v>
      </c>
      <c r="I6" s="36" t="s">
        <v>36</v>
      </c>
      <c r="J6" s="37" t="s">
        <v>37</v>
      </c>
      <c r="K6" s="38" t="s">
        <v>38</v>
      </c>
      <c r="L6" s="38" t="s">
        <v>26</v>
      </c>
      <c r="M6" s="39" t="s">
        <v>27</v>
      </c>
      <c r="N6" s="39" t="s">
        <v>39</v>
      </c>
      <c r="O6" s="39" t="s">
        <v>29</v>
      </c>
      <c r="P6" s="40"/>
      <c r="Q6" s="41"/>
      <c r="R6" s="42"/>
      <c r="U6" s="20"/>
      <c r="V6" s="43"/>
      <c r="W6" s="44"/>
      <c r="X6" s="43"/>
      <c r="Y6" s="43"/>
      <c r="Z6" s="43"/>
      <c r="AA6" s="43"/>
      <c r="AB6" s="21"/>
      <c r="AE6" s="45"/>
      <c r="AF6" s="45"/>
    </row>
    <row r="7" ht="17.25" spans="1:32">
      <c r="A7" s="46" t="s">
        <v>40</v>
      </c>
      <c r="B7" s="47" t="str">
        <f>VLOOKUP(LARGE(门店!A:A,1),门店!A:B,2,FALSE)</f>
        <v>鹅太公烧鹅（龙岗万科店）</v>
      </c>
      <c r="C7" s="48">
        <f>SUMIF(数据源表A!B:B,B7,数据源表A!F:F)</f>
        <v>9979.48</v>
      </c>
      <c r="D7" s="48">
        <f>SUMIF(数据源表A!B:B,B7,数据源表A!H:H)</f>
        <v>5875.7</v>
      </c>
      <c r="E7" s="49">
        <f>SUMIF(数据源表A!B:B,B7,数据源表A!I:I)</f>
        <v>179</v>
      </c>
      <c r="F7" s="48">
        <f>SUMIF(数据源表A!B:B,B7,数据源表A!U:U)</f>
        <v>2736.87</v>
      </c>
      <c r="G7" s="48">
        <f>SUMIF(数据源表A!B:B,B7,数据源表A!AA:AA)</f>
        <v>0</v>
      </c>
      <c r="H7" s="48">
        <f>SUMIF(数据源表A!B:B,B7,数据源表A!AG:AG)</f>
        <v>1980.31</v>
      </c>
      <c r="I7" s="48">
        <f>SUMIF(数据源表A!B:B,B7,数据源表A!AM:AM)</f>
        <v>1158.52</v>
      </c>
      <c r="J7" s="48">
        <f>SUMIF(数据源表A!B:B,B7,数据源表A!AS:AS)</f>
        <v>0</v>
      </c>
      <c r="K7" s="50">
        <f>SUMIF(数据源表A!$B:$B,$B7,INDEX(数据源表A!$A:$CA,0,MATCH(K$5,数据源表A!$2:$2,0)))</f>
        <v>8</v>
      </c>
      <c r="L7" s="50">
        <f>IFERROR(SUMIF(数据源表A!$B:$B,$B7,INDEX(数据源表A!$A:$CA,0,MATCH("美团/大众点评团购",数据源表A!$2:$2,0))),0)+IFERROR(SUMIF(数据源表A!$B:$B,$B7,INDEX(数据源表A!$A:$CA,0,MATCH("美团/大众点评支付",数据源表A!$2:$2,0))),0)</f>
        <v>503.38</v>
      </c>
      <c r="M7" s="50">
        <f>SUMIF(数据源表A!$B:$B,$B7,INDEX(数据源表A!$A:$CA,0,MATCH(M$5,数据源表A!$2:$2,0)))</f>
        <v>339.4</v>
      </c>
      <c r="N7" s="50">
        <f>SUMIF(数据源表A!$B:$B,$B7,INDEX(数据源表A!$A:$CA,0,MATCH(N$5,数据源表A!$2:$2,0)))</f>
        <v>2.09</v>
      </c>
      <c r="O7" s="50">
        <f>IFERROR(SUMIF(数据源表A!$B:$B,$B7,INDEX(数据源表A!$A:$CA,0,MATCH(O$5,数据源表A!$2:$2,0))),0)</f>
        <v>0</v>
      </c>
      <c r="P7" s="50">
        <f>F7-L7-M7+G7-K7-N7-O7</f>
        <v>1884</v>
      </c>
      <c r="Q7" s="48">
        <f>SUMIF(数据源表A!B:B,B7,数据源表A!G:G)</f>
        <v>4103.78</v>
      </c>
      <c r="R7" s="51">
        <f t="shared" ref="R7:R13" si="0">Q7/C7</f>
        <v>0.411221827189393</v>
      </c>
      <c r="U7" s="20"/>
      <c r="V7" s="20"/>
      <c r="W7" s="20"/>
      <c r="X7" s="20"/>
      <c r="Y7" s="20"/>
      <c r="Z7" s="20"/>
      <c r="AA7" s="20"/>
      <c r="AB7" s="20"/>
    </row>
    <row r="8" ht="17.25" spans="1:32">
      <c r="A8" s="52" t="s">
        <v>41</v>
      </c>
      <c r="B8" s="35" t="str">
        <f>VLOOKUP(LARGE(门店!A:A,2),门店!A:B,2,FALSE)</f>
        <v>鹅太公烧鹅（博罗店）</v>
      </c>
      <c r="C8" s="53">
        <f>SUMIF(数据源表A!B:B,B8,数据源表A!F:F)</f>
        <v>9381.7</v>
      </c>
      <c r="D8" s="53">
        <f>SUMIF(数据源表A!B:B,B8,数据源表A!H:H)</f>
        <v>6126.51</v>
      </c>
      <c r="E8" s="54">
        <f>SUMIF(数据源表A!B:B,B8,数据源表A!I:I)</f>
        <v>219</v>
      </c>
      <c r="F8" s="53">
        <f>SUMIF(数据源表A!B:B,B8,数据源表A!U:U)</f>
        <v>4296.12</v>
      </c>
      <c r="G8" s="53">
        <f>SUMIF(数据源表A!B:B,B8,数据源表A!AA:AA)</f>
        <v>0</v>
      </c>
      <c r="H8" s="53">
        <f>SUMIF(数据源表A!B:B,B8,数据源表A!AG:AG)</f>
        <v>874.4</v>
      </c>
      <c r="I8" s="53">
        <f>SUMIF(数据源表A!B:B,B8,数据源表A!AM:AM)</f>
        <v>955.99</v>
      </c>
      <c r="J8" s="53">
        <f>SUMIF(数据源表A!B:B,B8,数据源表A!AS:AS)</f>
        <v>0</v>
      </c>
      <c r="K8" s="50">
        <f>SUMIF(数据源表A!$B:$B,$B8,INDEX(数据源表A!$A:$CA,0,MATCH(K$5,数据源表A!$2:$2,0)))</f>
        <v>0</v>
      </c>
      <c r="L8" s="50">
        <f>IFERROR(SUMIF(数据源表A!$B:$B,$B8,INDEX(数据源表A!$A:$CA,0,MATCH("美团/大众点评团购",数据源表A!$2:$2,0))),0)+IFERROR(SUMIF(数据源表A!$B:$B,$B8,INDEX(数据源表A!$A:$CA,0,MATCH("美团/大众点评支付",数据源表A!$2:$2,0))),0)</f>
        <v>141.2</v>
      </c>
      <c r="M8" s="50">
        <f>SUMIF(数据源表A!$B:$B,$B8,INDEX(数据源表A!$A:$CA,0,MATCH(M$5,数据源表A!$2:$2,0)))</f>
        <v>320.1</v>
      </c>
      <c r="N8" s="50">
        <f>SUMIF(数据源表A!$B:$B,$B8,INDEX(数据源表A!$A:$CA,0,MATCH(N$5,数据源表A!$2:$2,0)))</f>
        <v>35.62</v>
      </c>
      <c r="O8" s="50">
        <f>IFERROR(SUMIF(数据源表A!$B:$B,$B8,INDEX(数据源表A!$A:$CA,0,MATCH(O$5,数据源表A!$2:$2,0))),0)</f>
        <v>0</v>
      </c>
      <c r="P8" s="50">
        <f t="shared" ref="P8:P17" si="1">F8-L8-M8+G8-K8-N8-O8</f>
        <v>3799.2</v>
      </c>
      <c r="Q8" s="53">
        <f>SUMIF(数据源表A!B:B,B8,数据源表A!G:G)</f>
        <v>3255.19</v>
      </c>
      <c r="R8" s="55">
        <f t="shared" si="0"/>
        <v>0.34697229713165</v>
      </c>
      <c r="U8" s="20"/>
      <c r="V8" s="20"/>
      <c r="W8" s="20"/>
      <c r="X8" s="20"/>
      <c r="Y8" s="20"/>
      <c r="Z8" s="20"/>
      <c r="AA8" s="20"/>
      <c r="AB8" s="20"/>
    </row>
    <row r="9" ht="17.25" spans="1:32">
      <c r="A9" s="52" t="s">
        <v>42</v>
      </c>
      <c r="B9" s="35" t="str">
        <f>VLOOKUP(LARGE(门店!A:A,3),门店!A:B,2,FALSE)</f>
        <v>鹅太公烧鹅（欧景花园店）</v>
      </c>
      <c r="C9" s="53">
        <f>SUMIF(数据源表A!B:B,B9,数据源表A!F:F)</f>
        <v>8533.79</v>
      </c>
      <c r="D9" s="53">
        <f>SUMIF(数据源表A!B:B,B9,数据源表A!H:H)</f>
        <v>5619.35</v>
      </c>
      <c r="E9" s="54">
        <f>SUMIF(数据源表A!B:B,B9,数据源表A!I:I)</f>
        <v>157</v>
      </c>
      <c r="F9" s="53">
        <f>SUMIF(数据源表A!B:B,B9,数据源表A!U:U)</f>
        <v>3158.41</v>
      </c>
      <c r="G9" s="53">
        <f>SUMIF(数据源表A!B:B,B9,数据源表A!AA:AA)</f>
        <v>88.8</v>
      </c>
      <c r="H9" s="53">
        <f>SUMIF(数据源表A!B:B,B9,数据源表A!AG:AG)</f>
        <v>1774.7</v>
      </c>
      <c r="I9" s="53">
        <f>SUMIF(数据源表A!B:B,B9,数据源表A!AM:AM)</f>
        <v>597.44</v>
      </c>
      <c r="J9" s="53">
        <f>SUMIF(数据源表A!B:B,B9,数据源表A!AS:AS)</f>
        <v>0</v>
      </c>
      <c r="K9" s="50">
        <f>SUMIF(数据源表A!$B:$B,$B9,INDEX(数据源表A!$A:$CA,0,MATCH(K$5,数据源表A!$2:$2,0)))</f>
        <v>13</v>
      </c>
      <c r="L9" s="50">
        <f>IFERROR(SUMIF(数据源表A!$B:$B,$B9,INDEX(数据源表A!$A:$CA,0,MATCH("美团/大众点评团购",数据源表A!$2:$2,0))),0)+IFERROR(SUMIF(数据源表A!$B:$B,$B9,INDEX(数据源表A!$A:$CA,0,MATCH("美团/大众点评支付",数据源表A!$2:$2,0))),0)</f>
        <v>376.84</v>
      </c>
      <c r="M9" s="50">
        <f>SUMIF(数据源表A!$B:$B,$B9,INDEX(数据源表A!$A:$CA,0,MATCH(M$5,数据源表A!$2:$2,0)))</f>
        <v>298.64</v>
      </c>
      <c r="N9" s="50">
        <f>SUMIF(数据源表A!$B:$B,$B9,INDEX(数据源表A!$A:$CA,0,MATCH(N$5,数据源表A!$2:$2,0)))</f>
        <v>65.73</v>
      </c>
      <c r="O9" s="50">
        <f>IFERROR(SUMIF(数据源表A!$B:$B,$B9,INDEX(数据源表A!$A:$CA,0,MATCH(O$5,数据源表A!$2:$2,0))),0)</f>
        <v>0</v>
      </c>
      <c r="P9" s="50">
        <f t="shared" si="1"/>
        <v>2493</v>
      </c>
      <c r="Q9" s="53">
        <f>SUMIF(数据源表A!B:B,B9,数据源表A!G:G)</f>
        <v>2914.44</v>
      </c>
      <c r="R9" s="55">
        <f t="shared" si="0"/>
        <v>0.341517660968925</v>
      </c>
      <c r="U9" s="20"/>
      <c r="V9" s="20"/>
      <c r="W9" s="20"/>
      <c r="X9" s="20"/>
      <c r="Y9" s="20"/>
      <c r="Z9" s="20"/>
      <c r="AA9" s="20"/>
      <c r="AB9" s="20"/>
    </row>
    <row r="10" ht="25" customHeight="1" spans="1:32">
      <c r="A10" s="52"/>
      <c r="B10" s="35"/>
      <c r="C10" s="53"/>
      <c r="D10" s="53"/>
      <c r="E10" s="54"/>
      <c r="F10" s="53"/>
      <c r="G10" s="53"/>
      <c r="H10" s="53"/>
      <c r="I10" s="53"/>
      <c r="J10" s="53"/>
      <c r="K10" s="50"/>
      <c r="L10" s="50"/>
      <c r="M10" s="50"/>
      <c r="N10" s="50"/>
      <c r="O10" s="50"/>
      <c r="P10" s="50"/>
      <c r="Q10" s="53"/>
      <c r="R10" s="55"/>
      <c r="U10" s="20"/>
      <c r="V10" s="20"/>
      <c r="W10" s="20"/>
      <c r="X10" s="20"/>
      <c r="Y10" s="20"/>
      <c r="Z10" s="20"/>
      <c r="AA10" s="20"/>
      <c r="AB10" s="20"/>
    </row>
    <row r="11" s="10" customFormat="1" ht="17.25" spans="1:32">
      <c r="A11" s="56">
        <v>7</v>
      </c>
      <c r="B11" s="56" t="str">
        <f>VLOOKUP(LARGE(门店!A:A,7),门店!A:B,2,FALSE)</f>
        <v>鹅太公烧鹅（麦地店）</v>
      </c>
      <c r="C11" s="53">
        <f>SUMIF(数据源表A!B:B,B11,数据源表A!F:F)</f>
        <v>7043.29</v>
      </c>
      <c r="D11" s="53">
        <f>SUMIF(数据源表A!B:B,B11,数据源表A!H:H)</f>
        <v>4211.36</v>
      </c>
      <c r="E11" s="54">
        <f>SUMIF(数据源表A!B:B,B11,数据源表A!I:I)</f>
        <v>170</v>
      </c>
      <c r="F11" s="53">
        <f>SUMIF(数据源表A!B:B,B11,数据源表A!U:U)</f>
        <v>2020.74</v>
      </c>
      <c r="G11" s="53">
        <f>SUMIF(数据源表A!B:B,B11,数据源表A!AA:AA)</f>
        <v>0</v>
      </c>
      <c r="H11" s="53">
        <f>SUMIF(数据源表A!B:B,B11,数据源表A!AG:AG)</f>
        <v>846.42</v>
      </c>
      <c r="I11" s="53">
        <f>SUMIF(数据源表A!B:B,B11,数据源表A!AM:AM)</f>
        <v>1264.35</v>
      </c>
      <c r="J11" s="53">
        <f>SUMIF(数据源表A!B:B,B11,数据源表A!AS:AS)</f>
        <v>79.85</v>
      </c>
      <c r="K11" s="50">
        <f>SUMIF(数据源表A!$B:$B,$B11,INDEX(数据源表A!$A:$CA,0,MATCH(K$5,数据源表A!$2:$2,0)))</f>
        <v>0</v>
      </c>
      <c r="L11" s="50">
        <f>IFERROR(SUMIF(数据源表A!$B:$B,$B11,INDEX(数据源表A!$A:$CA,0,MATCH("美团/大众点评团购",数据源表A!$2:$2,0))),0)+IFERROR(SUMIF(数据源表A!$B:$B,$B11,INDEX(数据源表A!$A:$CA,0,MATCH("美团/大众点评支付",数据源表A!$2:$2,0))),0)</f>
        <v>216.86</v>
      </c>
      <c r="M11" s="50">
        <f>SUMIF(数据源表A!$B:$B,$B11,INDEX(数据源表A!$A:$CA,0,MATCH(M$5,数据源表A!$2:$2,0)))</f>
        <v>327.8</v>
      </c>
      <c r="N11" s="50">
        <f>SUMIF(数据源表A!$B:$B,$B11,INDEX(数据源表A!$A:$CA,0,MATCH(N$5,数据源表A!$2:$2,0)))</f>
        <v>58.08</v>
      </c>
      <c r="O11" s="50">
        <f>IFERROR(SUMIF(数据源表A!$B:$B,$B11,INDEX(数据源表A!$A:$CA,0,MATCH(O$5,数据源表A!$2:$2,0))),0)</f>
        <v>0</v>
      </c>
      <c r="P11" s="50">
        <f t="shared" si="1"/>
        <v>1418</v>
      </c>
      <c r="Q11" s="53">
        <f>SUMIF(数据源表A!B:B,B11,数据源表A!G:G)</f>
        <v>2831.93</v>
      </c>
      <c r="R11" s="55">
        <f t="shared" si="0"/>
        <v>0.402074882618776</v>
      </c>
      <c r="U11" s="57"/>
      <c r="V11" s="57"/>
      <c r="W11" s="57"/>
      <c r="X11" s="57"/>
      <c r="Y11" s="57"/>
      <c r="Z11" s="57"/>
      <c r="AA11" s="57"/>
      <c r="AB11" s="57"/>
    </row>
    <row r="12" s="11" customFormat="1" ht="17.25" spans="1:32">
      <c r="A12" s="52">
        <v>8</v>
      </c>
      <c r="B12" s="35" t="str">
        <f>VLOOKUP(LARGE(门店!A:A,8),门店!A:B,2,FALSE)</f>
        <v>鹅太公烧鹅（普宁店）</v>
      </c>
      <c r="C12" s="53">
        <f>SUMIF(数据源表A!B:B,B12,数据源表A!F:F)</f>
        <v>6075.55</v>
      </c>
      <c r="D12" s="53">
        <f>SUMIF(数据源表A!B:B,B12,数据源表A!H:H)</f>
        <v>3957.76</v>
      </c>
      <c r="E12" s="54">
        <f>SUMIF(数据源表A!B:B,B12,数据源表A!I:I)</f>
        <v>164</v>
      </c>
      <c r="F12" s="53">
        <f>SUMIF(数据源表A!B:B,B12,数据源表A!U:U)</f>
        <v>2236.42</v>
      </c>
      <c r="G12" s="53">
        <f>SUMIF(数据源表A!B:B,B12,数据源表A!AA:AA)</f>
        <v>0</v>
      </c>
      <c r="H12" s="53">
        <f>SUMIF(数据源表A!B:B,B12,数据源表A!AG:AG)</f>
        <v>412.86</v>
      </c>
      <c r="I12" s="53">
        <f>SUMIF(数据源表A!B:B,B12,数据源表A!AM:AM)</f>
        <v>718.17</v>
      </c>
      <c r="J12" s="53">
        <f>SUMIF(数据源表A!B:B,B12,数据源表A!AS:AS)</f>
        <v>590.31</v>
      </c>
      <c r="K12" s="50">
        <f>SUMIF(数据源表A!$B:$B,$B12,INDEX(数据源表A!$A:$CA,0,MATCH(K$5,数据源表A!$2:$2,0)))</f>
        <v>0</v>
      </c>
      <c r="L12" s="50">
        <f>IFERROR(SUMIF(数据源表A!$B:$B,$B12,INDEX(数据源表A!$A:$CA,0,MATCH("美团/大众点评团购",数据源表A!$2:$2,0))),0)+IFERROR(SUMIF(数据源表A!$B:$B,$B12,INDEX(数据源表A!$A:$CA,0,MATCH("美团/大众点评支付",数据源表A!$2:$2,0))),0)</f>
        <v>23.8</v>
      </c>
      <c r="M12" s="50">
        <f>SUMIF(数据源表A!$B:$B,$B12,INDEX(数据源表A!$A:$CA,0,MATCH(M$5,数据源表A!$2:$2,0)))</f>
        <v>381.71</v>
      </c>
      <c r="N12" s="50">
        <f>SUMIF(数据源表A!$B:$B,$B12,INDEX(数据源表A!$A:$CA,0,MATCH(N$5,数据源表A!$2:$2,0)))</f>
        <v>21.91</v>
      </c>
      <c r="O12" s="50">
        <f>IFERROR(SUMIF(数据源表A!$B:$B,$B12,INDEX(数据源表A!$A:$CA,0,MATCH(O$5,数据源表A!$2:$2,0))),0)</f>
        <v>0</v>
      </c>
      <c r="P12" s="50">
        <f t="shared" si="1"/>
        <v>1809</v>
      </c>
      <c r="Q12" s="53">
        <f>SUMIF(数据源表A!B:B,B12,数据源表A!G:G)</f>
        <v>2117.79</v>
      </c>
      <c r="R12" s="55">
        <f t="shared" si="0"/>
        <v>0.348575849100081</v>
      </c>
      <c r="U12" s="58"/>
      <c r="V12" s="58"/>
      <c r="W12" s="58"/>
      <c r="X12" s="58"/>
      <c r="Y12" s="58"/>
      <c r="Z12" s="58"/>
      <c r="AA12" s="58"/>
      <c r="AB12" s="58"/>
    </row>
    <row r="13" s="11" customFormat="1" ht="17.25" spans="1:32">
      <c r="A13" s="52">
        <v>9</v>
      </c>
      <c r="B13" s="35" t="str">
        <f>VLOOKUP(LARGE(门店!A:A,9),门店!A:B,2,FALSE)</f>
        <v>鹅太公烧鹅（下埔店）</v>
      </c>
      <c r="C13" s="53">
        <f>SUMIF(数据源表A!B:B,B13,数据源表A!F:F)</f>
        <v>5924.51</v>
      </c>
      <c r="D13" s="53">
        <f>SUMIF(数据源表A!B:B,B13,数据源表A!H:H)</f>
        <v>4309.55</v>
      </c>
      <c r="E13" s="54">
        <f>SUMIF(数据源表A!B:B,B13,数据源表A!I:I)</f>
        <v>140</v>
      </c>
      <c r="F13" s="53">
        <f>SUMIF(数据源表A!B:B,B13,数据源表A!U:U)</f>
        <v>2982.35</v>
      </c>
      <c r="G13" s="53">
        <f>SUMIF(数据源表A!B:B,B13,数据源表A!AA:AA)</f>
        <v>0</v>
      </c>
      <c r="H13" s="53">
        <f>SUMIF(数据源表A!B:B,B13,数据源表A!AG:AG)</f>
        <v>586.99</v>
      </c>
      <c r="I13" s="53">
        <f>SUMIF(数据源表A!B:B,B13,数据源表A!AM:AM)</f>
        <v>464.87</v>
      </c>
      <c r="J13" s="53">
        <f>SUMIF(数据源表A!B:B,B13,数据源表A!AS:AS)</f>
        <v>275.34</v>
      </c>
      <c r="K13" s="50">
        <f>SUMIF(数据源表A!$B:$B,$B13,INDEX(数据源表A!$A:$CA,0,MATCH(K$5,数据源表A!$2:$2,0)))</f>
        <v>0</v>
      </c>
      <c r="L13" s="50">
        <f>IFERROR(SUMIF(数据源表A!$B:$B,$B13,INDEX(数据源表A!$A:$CA,0,MATCH("美团/大众点评团购",数据源表A!$2:$2,0))),0)+IFERROR(SUMIF(数据源表A!$B:$B,$B13,INDEX(数据源表A!$A:$CA,0,MATCH("美团/大众点评支付",数据源表A!$2:$2,0))),0)</f>
        <v>105.2</v>
      </c>
      <c r="M13" s="50">
        <f>SUMIF(数据源表A!$B:$B,$B13,INDEX(数据源表A!$A:$CA,0,MATCH(M$5,数据源表A!$2:$2,0)))</f>
        <v>253.1</v>
      </c>
      <c r="N13" s="50">
        <f>SUMIF(数据源表A!$B:$B,$B13,INDEX(数据源表A!$A:$CA,0,MATCH(N$5,数据源表A!$2:$2,0)))</f>
        <v>36.2</v>
      </c>
      <c r="O13" s="50">
        <f>IFERROR(SUMIF(数据源表A!$B:$B,$B13,INDEX(数据源表A!$A:$CA,0,MATCH(O$5,数据源表A!$2:$2,0))),0)</f>
        <v>0</v>
      </c>
      <c r="P13" s="50">
        <f t="shared" si="1"/>
        <v>2587.85</v>
      </c>
      <c r="Q13" s="53">
        <f>SUMIF(数据源表A!B:B,B13,数据源表A!G:G)</f>
        <v>1614.96</v>
      </c>
      <c r="R13" s="55">
        <f t="shared" si="0"/>
        <v>0.272589631885169</v>
      </c>
      <c r="U13" s="58"/>
      <c r="V13" s="58"/>
      <c r="W13" s="58"/>
      <c r="X13" s="58"/>
      <c r="Y13" s="58"/>
      <c r="Z13" s="58"/>
      <c r="AA13" s="58"/>
      <c r="AB13" s="58"/>
    </row>
    <row r="14" ht="17.25" spans="1:32">
      <c r="A14" s="52"/>
      <c r="B14" s="35"/>
      <c r="C14" s="53"/>
      <c r="D14" s="53"/>
      <c r="E14" s="54"/>
      <c r="F14" s="53"/>
      <c r="G14" s="53"/>
      <c r="H14" s="53"/>
      <c r="I14" s="53"/>
      <c r="J14" s="53"/>
      <c r="K14" s="50"/>
      <c r="L14" s="50"/>
      <c r="M14" s="50"/>
      <c r="N14" s="50"/>
      <c r="O14" s="50"/>
      <c r="P14" s="50"/>
      <c r="Q14" s="53"/>
      <c r="R14" s="55"/>
      <c r="U14" s="20"/>
      <c r="V14" s="20"/>
      <c r="W14" s="20"/>
      <c r="X14" s="20"/>
      <c r="Y14" s="20"/>
      <c r="Z14" s="20"/>
      <c r="AA14" s="20"/>
      <c r="AB14" s="20"/>
    </row>
    <row r="15" ht="17.25" spans="1:32">
      <c r="A15" s="52" t="s">
        <v>43</v>
      </c>
      <c r="B15" s="35" t="str">
        <f t="array" ref="B15">VLOOKUP(_xlfn.AGGREGATE(15,6,门店!A:A/(门店!A:A&gt;0),3),门店!A:B,2,FALSE)</f>
        <v>鹅太公烧鹅（上排店）</v>
      </c>
      <c r="C15" s="53">
        <f>SUMIF(数据源表A!B:B,B15,数据源表A!F:F)</f>
        <v>3695.02</v>
      </c>
      <c r="D15" s="53">
        <f>SUMIF(数据源表A!B:B,B15,数据源表A!H:H)</f>
        <v>2248.29</v>
      </c>
      <c r="E15" s="54">
        <f>SUMIF(数据源表A!B:B,B15,数据源表A!I:I)</f>
        <v>93</v>
      </c>
      <c r="F15" s="53">
        <f>SUMIF(数据源表A!B:B,B15,数据源表A!U:U)</f>
        <v>1272.32</v>
      </c>
      <c r="G15" s="53">
        <f>SUMIF(数据源表A!B:B,B15,数据源表A!AA:AA)</f>
        <v>0</v>
      </c>
      <c r="H15" s="53">
        <f>SUMIF(数据源表A!B:B,B15,数据源表A!AG:AG)</f>
        <v>427.09</v>
      </c>
      <c r="I15" s="53">
        <f>SUMIF(数据源表A!B:B,B15,数据源表A!AM:AM)</f>
        <v>432.07</v>
      </c>
      <c r="J15" s="53">
        <f>SUMIF(数据源表A!B:B,B15,数据源表A!AS:AS)</f>
        <v>116.81</v>
      </c>
      <c r="K15" s="50">
        <f>SUMIF(数据源表A!$B:$B,$B15,INDEX(数据源表A!$A:$CA,0,MATCH(K$5,数据源表A!$2:$2,0)))</f>
        <v>0</v>
      </c>
      <c r="L15" s="50">
        <f>IFERROR(SUMIF(数据源表A!$B:$B,$B15,INDEX(数据源表A!$A:$CA,0,MATCH("美团/大众点评团购",数据源表A!$2:$2,0))),0)+IFERROR(SUMIF(数据源表A!$B:$B,$B15,INDEX(数据源表A!$A:$CA,0,MATCH("美团/大众点评支付",数据源表A!$2:$2,0))),0)</f>
        <v>64.4</v>
      </c>
      <c r="M15" s="50">
        <f>SUMIF(数据源表A!$B:$B,$B15,INDEX(数据源表A!$A:$CA,0,MATCH(M$5,数据源表A!$2:$2,0)))</f>
        <v>173.4</v>
      </c>
      <c r="N15" s="50">
        <f>SUMIF(数据源表A!$B:$B,$B15,INDEX(数据源表A!$A:$CA,0,MATCH(N$5,数据源表A!$2:$2,0)))</f>
        <v>0</v>
      </c>
      <c r="O15" s="50">
        <f>IFERROR(SUMIF(数据源表A!$B:$B,$B15,INDEX(数据源表A!$A:$CA,0,MATCH(O$5,数据源表A!$2:$2,0))),0)</f>
        <v>0</v>
      </c>
      <c r="P15" s="50">
        <f t="shared" si="1"/>
        <v>1034.52</v>
      </c>
      <c r="Q15" s="53">
        <f>SUMIF(数据源表A!B:B,B15,数据源表A!G:G)</f>
        <v>1446.73</v>
      </c>
      <c r="R15" s="55">
        <f>IFERROR(Q15/C15,"")</f>
        <v>0.391535093179469</v>
      </c>
      <c r="U15" s="20"/>
      <c r="V15" s="20"/>
      <c r="W15" s="20"/>
      <c r="X15" s="20"/>
      <c r="Y15" s="20"/>
      <c r="Z15" s="20"/>
      <c r="AA15" s="20"/>
      <c r="AB15" s="20"/>
    </row>
    <row r="16" ht="17.25" spans="1:32">
      <c r="A16" s="52" t="s">
        <v>44</v>
      </c>
      <c r="B16" s="35" t="str">
        <f t="array" ref="B16">VLOOKUP(_xlfn.AGGREGATE(15,6,门店!A:A/(门店!A:A&gt;0),2),门店!A:B,2,FALSE)</f>
        <v>鹅太公烧鹅（水口店）</v>
      </c>
      <c r="C16" s="53">
        <f>SUMIF(数据源表A!B:B,B16,数据源表A!F:F)</f>
        <v>3644.8</v>
      </c>
      <c r="D16" s="53">
        <f>SUMIF(数据源表A!B:B,B16,数据源表A!H:H)</f>
        <v>2630.37</v>
      </c>
      <c r="E16" s="54">
        <f>SUMIF(数据源表A!B:B,B16,数据源表A!I:I)</f>
        <v>91</v>
      </c>
      <c r="F16" s="53">
        <f>SUMIF(数据源表A!B:B,B16,数据源表A!U:U)</f>
        <v>1663.8</v>
      </c>
      <c r="G16" s="53">
        <f>SUMIF(数据源表A!B:B,B16,数据源表A!AA:AA)</f>
        <v>0</v>
      </c>
      <c r="H16" s="53">
        <f>SUMIF(数据源表A!B:B,B16,数据源表A!AG:AG)</f>
        <v>387.33</v>
      </c>
      <c r="I16" s="53">
        <f>SUMIF(数据源表A!B:B,B16,数据源表A!AM:AM)</f>
        <v>284.45</v>
      </c>
      <c r="J16" s="53">
        <f>SUMIF(数据源表A!B:B,B16,数据源表A!AS:AS)</f>
        <v>294.79</v>
      </c>
      <c r="K16" s="50">
        <f>SUMIF(数据源表A!$B:$B,$B16,INDEX(数据源表A!$A:$CA,0,MATCH(K$5,数据源表A!$2:$2,0)))</f>
        <v>0</v>
      </c>
      <c r="L16" s="50">
        <f>IFERROR(SUMIF(数据源表A!$B:$B,$B16,INDEX(数据源表A!$A:$CA,0,MATCH("美团/大众点评团购",数据源表A!$2:$2,0))),0)+IFERROR(SUMIF(数据源表A!$B:$B,$B16,INDEX(数据源表A!$A:$CA,0,MATCH("美团/大众点评支付",数据源表A!$2:$2,0))),0)</f>
        <v>23.8</v>
      </c>
      <c r="M16" s="50">
        <f>SUMIF(数据源表A!$B:$B,$B16,INDEX(数据源表A!$A:$CA,0,MATCH(M$5,数据源表A!$2:$2,0)))</f>
        <v>216.4</v>
      </c>
      <c r="N16" s="50">
        <f>SUMIF(数据源表A!$B:$B,$B16,INDEX(数据源表A!$A:$CA,0,MATCH(N$5,数据源表A!$2:$2,0)))</f>
        <v>0</v>
      </c>
      <c r="O16" s="50">
        <f>IFERROR(SUMIF(数据源表A!$B:$B,$B16,INDEX(数据源表A!$A:$CA,0,MATCH(O$5,数据源表A!$2:$2,0))),0)</f>
        <v>0</v>
      </c>
      <c r="P16" s="50">
        <f t="shared" si="1"/>
        <v>1423.6</v>
      </c>
      <c r="Q16" s="53">
        <f>SUMIF(数据源表A!B:B,B16,数据源表A!G:G)</f>
        <v>1014.43</v>
      </c>
      <c r="R16" s="55">
        <f>IFERROR(Q16/C16,"")</f>
        <v>0.278322541703248</v>
      </c>
      <c r="U16" s="20"/>
      <c r="V16" s="20"/>
      <c r="W16" s="20"/>
      <c r="X16" s="20"/>
      <c r="Y16" s="20"/>
      <c r="Z16" s="20"/>
      <c r="AA16" s="20"/>
      <c r="AB16" s="20"/>
    </row>
    <row r="17" ht="17.25" spans="1:32">
      <c r="A17" s="52" t="s">
        <v>45</v>
      </c>
      <c r="B17" s="56" t="str">
        <f t="array" ref="B17">VLOOKUP(_xlfn.AGGREGATE(15,6,门店!A:A/(门店!A:A&gt;0),1),门店!A:B,2,FALSE)</f>
        <v>鹅太公烧鹅（东平三院店）</v>
      </c>
      <c r="C17" s="59">
        <f>SUMIF(数据源表A!B:B,B17,数据源表A!F:F)</f>
        <v>3425.3</v>
      </c>
      <c r="D17" s="59">
        <f>SUMIF(数据源表A!B:B,B17,数据源表A!H:H)</f>
        <v>3036.31</v>
      </c>
      <c r="E17" s="60">
        <f>SUMIF(数据源表A!B:B,B17,数据源表A!I:I)</f>
        <v>92</v>
      </c>
      <c r="F17" s="53">
        <f>SUMIF(数据源表A!B:B,B17,数据源表A!U:U)</f>
        <v>2754.9</v>
      </c>
      <c r="G17" s="53">
        <f>SUMIF(数据源表A!B:B,B17,数据源表A!AA:AA)</f>
        <v>0</v>
      </c>
      <c r="H17" s="53">
        <f>SUMIF(数据源表A!B:B,B17,数据源表A!AG:AG)</f>
        <v>281.41</v>
      </c>
      <c r="I17" s="53">
        <f>SUMIF(数据源表A!B:B,B17,数据源表A!AM:AM)</f>
        <v>0</v>
      </c>
      <c r="J17" s="53">
        <f>SUMIF(数据源表A!B:B,B17,数据源表A!AS:AS)</f>
        <v>0</v>
      </c>
      <c r="K17" s="50">
        <f>SUMIF(数据源表A!$B:$B,$B17,INDEX(数据源表A!$A:$CA,0,MATCH(K$5,数据源表A!$2:$2,0)))</f>
        <v>0</v>
      </c>
      <c r="L17" s="50">
        <f>IFERROR(SUMIF(数据源表A!$B:$B,$B17,INDEX(数据源表A!$A:$CA,0,MATCH("美团/大众点评团购",数据源表A!$2:$2,0))),0)+IFERROR(SUMIF(数据源表A!$B:$B,$B17,INDEX(数据源表A!$A:$CA,0,MATCH("美团/大众点评支付",数据源表A!$2:$2,0))),0)</f>
        <v>61.6</v>
      </c>
      <c r="M17" s="50">
        <f>SUMIF(数据源表A!$B:$B,$B17,INDEX(数据源表A!$A:$CA,0,MATCH(M$5,数据源表A!$2:$2,0)))</f>
        <v>103.3</v>
      </c>
      <c r="N17" s="50">
        <f>SUMIF(数据源表A!$B:$B,$B17,INDEX(数据源表A!$A:$CA,0,MATCH(N$5,数据源表A!$2:$2,0)))</f>
        <v>0</v>
      </c>
      <c r="O17" s="50">
        <f>IFERROR(SUMIF(数据源表A!$B:$B,$B17,INDEX(数据源表A!$A:$CA,0,MATCH(O$5,数据源表A!$2:$2,0))),0)</f>
        <v>0</v>
      </c>
      <c r="P17" s="50">
        <f t="shared" si="1"/>
        <v>2590</v>
      </c>
      <c r="Q17" s="59">
        <f>SUMIF(数据源表A!B:B,B17,数据源表A!G:G)</f>
        <v>388.99</v>
      </c>
      <c r="R17" s="61">
        <f>IFERROR(Q17/C17,"")</f>
        <v>0.113563775435728</v>
      </c>
      <c r="U17" s="20"/>
      <c r="V17" s="20"/>
      <c r="W17" s="20"/>
      <c r="X17" s="20"/>
      <c r="Y17" s="20"/>
      <c r="Z17" s="20"/>
      <c r="AA17" s="20"/>
      <c r="AB17" s="20"/>
    </row>
    <row r="18" ht="38" customHeight="1" spans="1:32">
      <c r="A18" s="25" t="s">
        <v>46</v>
      </c>
      <c r="B18" s="25"/>
      <c r="C18" s="27">
        <f>SUM(数据源表A!F:F)</f>
        <v>115631.46</v>
      </c>
      <c r="D18" s="27">
        <f>SUM(数据源表A!H:H)</f>
        <v>80431.83</v>
      </c>
      <c r="E18" s="26">
        <f>SUM(数据源表A!I:I)</f>
        <v>2575</v>
      </c>
      <c r="F18" s="27">
        <f>SUM(数据源表A!U:U)</f>
        <v>55093.29</v>
      </c>
      <c r="G18" s="27">
        <f>SUM(数据源表A!AA:AA)</f>
        <v>135.8</v>
      </c>
      <c r="H18" s="27">
        <f>SUM(数据源表A!AG:AG)</f>
        <v>12966.29</v>
      </c>
      <c r="I18" s="27">
        <f>SUM(数据源表A!AM:AM)</f>
        <v>10506.09</v>
      </c>
      <c r="J18" s="27">
        <f>SUM(数据源表A!AS:AS)</f>
        <v>1730.36</v>
      </c>
      <c r="K18" s="62">
        <f>SUM(INDEX(数据源表A!$A:$CA,0,MATCH(K$5,数据源表A!$2:$2,0)))</f>
        <v>776</v>
      </c>
      <c r="L18" s="62">
        <f>IFERROR(SUM(INDEX(数据源表A!$A:$CA,0,MATCH("美团/大众点评团购",数据源表A!$2:$2,0))),0)+IFERROR(SUM(INDEX(数据源表A!$A:$CA,0,MATCH("美团/大众点评支付",数据源表A!$2:$2,0))),0)</f>
        <v>3049.08</v>
      </c>
      <c r="M18" s="62">
        <f>SUM(INDEX(数据源表A!$A:$CA,0,MATCH(M$5,数据源表A!$2:$2,0)))</f>
        <v>4863.67</v>
      </c>
      <c r="N18" s="62">
        <f>SUM(INDEX(数据源表A!$A:$CA,0,MATCH(N$5,数据源表A!$2:$2,0)))</f>
        <v>945.67</v>
      </c>
      <c r="O18" s="62">
        <f>IFERROR(SUM(INDEX(数据源表A!$A:$CA,0,MATCH(O$5,数据源表A!$2:$2,0))),0)</f>
        <v>0</v>
      </c>
      <c r="P18" s="62">
        <f>F18+G18-L18-M18-K18-N18-O18</f>
        <v>45594.67</v>
      </c>
      <c r="Q18" s="27">
        <f>SUM(数据源表A!G:G)</f>
        <v>35199.63</v>
      </c>
      <c r="R18" s="63">
        <f>IFERROR(Q18/C18,"")</f>
        <v>0.304412224839157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="8" customFormat="1" ht="20" customHeight="1" spans="1:32"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 ht="17.25" spans="1:32">
      <c r="A20" s="26" t="s">
        <v>22</v>
      </c>
      <c r="B20" s="26" t="s">
        <v>0</v>
      </c>
      <c r="C20" s="26" t="s">
        <v>23</v>
      </c>
      <c r="D20" s="26" t="s">
        <v>24</v>
      </c>
      <c r="E20" s="36" t="s">
        <v>31</v>
      </c>
      <c r="F20" s="63" t="s">
        <v>32</v>
      </c>
      <c r="G20" s="26" t="s">
        <v>47</v>
      </c>
      <c r="H20" s="26" t="s">
        <v>48</v>
      </c>
      <c r="AE20" s="45" t="s">
        <v>49</v>
      </c>
      <c r="AF20" s="45" t="s">
        <v>50</v>
      </c>
    </row>
    <row r="21" ht="30" customHeight="1" spans="1:32">
      <c r="A21" s="25" t="s">
        <v>9</v>
      </c>
      <c r="B21" s="65">
        <f>SUMIFS(数据源表A!F:F,数据源表A!B:B,$A$21,数据源表A!C:C,A3)</f>
        <v>8178.26</v>
      </c>
      <c r="C21" s="66">
        <f>SUMIFS(数据源表A!H:H,数据源表A!B:B,$A$21,数据源表A!C:C,A3)</f>
        <v>5133.67</v>
      </c>
      <c r="D21" s="67">
        <f>SUMIFS(数据源表A!I:I,数据源表A!B:B,$A$21,数据源表A!C:C,A3)</f>
        <v>166</v>
      </c>
      <c r="E21" s="68">
        <f>SUMIFS(数据源表A!G:G,数据源表A!B:B,$A$21,数据源表A!C:C,A3)</f>
        <v>3044.59</v>
      </c>
      <c r="F21" s="69">
        <f>IFERROR(E21/B21,0)</f>
        <v>0.372278455319347</v>
      </c>
      <c r="G21" s="70">
        <f>C21-B23-E23-H23-B25-D25</f>
        <v>1713.2</v>
      </c>
      <c r="H21" s="69">
        <f>G21/C21</f>
        <v>0.333718373015796</v>
      </c>
    </row>
    <row r="22" ht="17.25" spans="1:32">
      <c r="A22" s="25"/>
      <c r="B22" s="71" t="s">
        <v>35</v>
      </c>
      <c r="C22" s="71" t="s">
        <v>51</v>
      </c>
      <c r="D22" s="71" t="s">
        <v>52</v>
      </c>
      <c r="E22" s="72" t="s">
        <v>36</v>
      </c>
      <c r="F22" s="72" t="s">
        <v>53</v>
      </c>
      <c r="G22" s="73" t="s">
        <v>52</v>
      </c>
      <c r="H22" s="74" t="s">
        <v>37</v>
      </c>
      <c r="I22" s="74" t="s">
        <v>54</v>
      </c>
      <c r="J22" s="75" t="s">
        <v>52</v>
      </c>
      <c r="K22" s="76"/>
    </row>
    <row r="23" ht="30" customHeight="1" spans="1:32">
      <c r="A23" s="25"/>
      <c r="B23" s="68">
        <f>SUMIFS(数据源表A!AG:AG,数据源表A!B:B,$A$21,数据源表A!C:C,A3)</f>
        <v>1633.27</v>
      </c>
      <c r="C23" s="77">
        <f>SUMIFS(数据源表A!AI:AI,数据源表A!B:B,$A$21,数据源表A!C:C,A3)</f>
        <v>56</v>
      </c>
      <c r="D23" s="69">
        <f>IFERROR(B23/C21,0)</f>
        <v>0.318148614928501</v>
      </c>
      <c r="E23" s="68">
        <f>SUMIFS(数据源表A!AM:AM,数据源表A!B:B,$A$21,数据源表A!C:C,A3)</f>
        <v>951.08</v>
      </c>
      <c r="F23" s="77">
        <f>SUMIFS(数据源表A!AO:AO,数据源表A!B:B,$A$21,数据源表A!C:C,A3)</f>
        <v>38</v>
      </c>
      <c r="G23" s="69">
        <f>IFERROR(E23/C21,0)</f>
        <v>0.185263174298309</v>
      </c>
      <c r="H23" s="68">
        <f>SUMIFS(数据源表A!AS:AS,数据源表A!B:B,$A$21,数据源表A!C:C,A3)</f>
        <v>104.2</v>
      </c>
      <c r="I23" s="77">
        <f>SUMIFS(数据源表A!AU:AU,数据源表A!B:B,$A$21,数据源表A!C:C,A3)</f>
        <v>4</v>
      </c>
      <c r="J23" s="69">
        <f>IFERROR(H23/C21,0)</f>
        <v>0.0202973701075449</v>
      </c>
      <c r="K23" s="78"/>
    </row>
    <row r="24" s="8" customFormat="1" ht="20" customHeight="1" spans="1:32">
      <c r="A24" s="25"/>
      <c r="B24" s="36" t="s">
        <v>26</v>
      </c>
      <c r="C24" s="26" t="s">
        <v>52</v>
      </c>
      <c r="D24" s="26" t="s">
        <v>27</v>
      </c>
      <c r="E24" s="26" t="s">
        <v>52</v>
      </c>
      <c r="F24" s="26" t="s">
        <v>38</v>
      </c>
      <c r="G24" s="26" t="s">
        <v>52</v>
      </c>
      <c r="H24" s="26" t="s">
        <v>39</v>
      </c>
      <c r="I24" s="26" t="s">
        <v>52</v>
      </c>
      <c r="J24" s="26" t="s">
        <v>29</v>
      </c>
      <c r="K24" s="26" t="s">
        <v>52</v>
      </c>
      <c r="L24" s="21"/>
    </row>
    <row r="25" s="8" customFormat="1" ht="30" customHeight="1" spans="1:32">
      <c r="A25" s="25"/>
      <c r="B25" s="68">
        <f>IFERROR(SUMIF(数据源表A!$B:$B,A21,INDEX(数据源表A!$A:$CA,0,MATCH("美团/大众点评团购",数据源表A!$2:$2,0))),0)+IFERROR(SUMIF(数据源表A!$B:$B,A21,INDEX(数据源表A!$A:$CA,0,MATCH("美团/大众点评支付",数据源表A!$2:$2,0))),0)</f>
        <v>519.32</v>
      </c>
      <c r="C25" s="69">
        <f>IFERROR(B25/C21,0)</f>
        <v>0.101159599273035</v>
      </c>
      <c r="D25" s="68">
        <f>SUMIF(数据源表A!$B:$B,A21,INDEX(数据源表A!$A:$CA,0,MATCH(D24,数据源表A!$2:$2,0)))</f>
        <v>212.6</v>
      </c>
      <c r="E25" s="69">
        <f>IFERROR(D25/C21,0)</f>
        <v>0.0414128683768142</v>
      </c>
      <c r="F25" s="68">
        <f>SUMIF(数据源表A!$B:$B,A21,INDEX(数据源表A!$A:$CA,0,MATCH(K$5,数据源表A!$2:$2,0)))</f>
        <v>0</v>
      </c>
      <c r="G25" s="69">
        <f>IFERROR(F25/C21,0)</f>
        <v>0</v>
      </c>
      <c r="H25" s="68">
        <f>SUMIF(数据源表A!$B:$B,A21,INDEX(数据源表A!$A:$CA,0,MATCH(N$5,数据源表A!$2:$2,0)))</f>
        <v>0</v>
      </c>
      <c r="I25" s="69">
        <f>IFERROR(H25/C21,0)</f>
        <v>0</v>
      </c>
      <c r="J25" s="68">
        <f>IFERROR(SUMIF(数据源表A!$B:$B,A21,INDEX(数据源表A!$A:$CA,0,MATCH(O$5,数据源表A!$2:$2,0))),0)</f>
        <v>0</v>
      </c>
      <c r="K25" s="69">
        <f>IFERROR(J25/E21,0)</f>
        <v>0</v>
      </c>
      <c r="L25" s="79"/>
    </row>
    <row r="26" s="8" customFormat="1" ht="20" customHeight="1"/>
    <row r="27" s="8" customFormat="1" ht="20" customHeight="1"/>
    <row r="46" spans="1:2">
      <c r="A46" s="80"/>
      <c r="B46" s="80"/>
    </row>
    <row r="47" spans="1:2">
      <c r="B47" s="80"/>
    </row>
    <row r="48" spans="1:2">
      <c r="A48" s="80"/>
    </row>
    <row r="49" spans="1:1">
      <c r="A49" s="80"/>
    </row>
    <row r="50" spans="1:1">
      <c r="A50" s="80"/>
    </row>
    <row r="51" spans="1:1">
      <c r="A51" s="80"/>
    </row>
    <row r="52" spans="1:1">
      <c r="A52" s="80"/>
    </row>
    <row r="53" spans="1:1">
      <c r="A53" s="80"/>
    </row>
    <row r="54" spans="1:1">
      <c r="A54" s="80"/>
    </row>
    <row r="55" spans="1:1">
      <c r="A55" s="80"/>
    </row>
    <row r="56" spans="1:1">
      <c r="A56" s="80"/>
    </row>
    <row r="57" spans="1:1">
      <c r="A57" s="80"/>
    </row>
  </sheetData>
  <mergeCells count="15">
    <mergeCell ref="A1:R1"/>
    <mergeCell ref="A2:R2"/>
    <mergeCell ref="A3:R3"/>
    <mergeCell ref="F5:J5"/>
    <mergeCell ref="A18:B18"/>
    <mergeCell ref="A46:B46"/>
    <mergeCell ref="A5:A6"/>
    <mergeCell ref="A21:A25"/>
    <mergeCell ref="B5:B6"/>
    <mergeCell ref="C5:C6"/>
    <mergeCell ref="D5:D6"/>
    <mergeCell ref="E5:E6"/>
    <mergeCell ref="P5:P6"/>
    <mergeCell ref="Q5:Q6"/>
    <mergeCell ref="R5:R6"/>
  </mergeCells>
  <dataValidations count="1">
    <dataValidation type="list" allowBlank="1" showInputMessage="1" showErrorMessage="1" sqref="A21">
      <formula1>门店!$B:$B</formula1>
    </dataValidation>
  </dataValidations>
  <pageMargins left="0.75" right="0.75" top="1" bottom="1" header="0.5" footer="0.5"/>
  <headerFooter/>
  <ignoredErrors>
    <ignoredError sqref="L7:L18 AE20:AF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21"/>
  <sheetViews>
    <sheetView workbookViewId="0">
      <selection activeCell="H31" sqref="H31"/>
    </sheetView>
  </sheetViews>
  <sheetFormatPr defaultColWidth="9" defaultRowHeight="13.5"/>
  <cols>
    <col min="1" max="1" width="8" style="1" customWidth="1"/>
    <col min="2" max="2" width="26" style="1" customWidth="1"/>
    <col min="3" max="3" width="12" style="1" customWidth="1"/>
    <col min="4" max="4" width="21" style="1" customWidth="1"/>
    <col min="5" max="5" width="10" style="1" customWidth="1"/>
    <col min="6" max="6" width="12" style="1" customWidth="1"/>
    <col min="7" max="8" width="14" style="1" customWidth="1"/>
    <col min="9" max="9" width="8" style="1" customWidth="1"/>
    <col min="10" max="11" width="10" style="1" customWidth="1"/>
    <col min="12" max="15" width="14" style="1" customWidth="1"/>
    <col min="16" max="18" width="8" style="1" customWidth="1"/>
    <col min="19" max="19" width="20" style="1" customWidth="1"/>
    <col min="20" max="20" width="12" style="1" customWidth="1"/>
    <col min="21" max="22" width="14" style="1" customWidth="1"/>
    <col min="23" max="23" width="8" style="1" customWidth="1"/>
    <col min="24" max="25" width="14" style="1" customWidth="1"/>
    <col min="26" max="26" width="12" style="1" customWidth="1"/>
    <col min="27" max="28" width="14" style="1" customWidth="1"/>
    <col min="29" max="29" width="8" style="1" customWidth="1"/>
    <col min="30" max="31" width="14" style="1" customWidth="1"/>
    <col min="32" max="32" width="12" style="1" customWidth="1"/>
    <col min="33" max="34" width="14" style="1" customWidth="1"/>
    <col min="35" max="35" width="8" style="1" customWidth="1"/>
    <col min="36" max="37" width="14" style="1" customWidth="1"/>
    <col min="38" max="38" width="12" style="1" customWidth="1"/>
    <col min="39" max="40" width="14" style="1" customWidth="1"/>
    <col min="41" max="41" width="8" style="1" customWidth="1"/>
    <col min="42" max="43" width="14" style="1" customWidth="1"/>
    <col min="44" max="44" width="12" style="1" customWidth="1"/>
    <col min="45" max="46" width="14" style="1" customWidth="1"/>
    <col min="47" max="47" width="8" style="1" customWidth="1"/>
    <col min="48" max="49" width="14" style="1" customWidth="1"/>
    <col min="50" max="50" width="12" style="1" customWidth="1"/>
    <col min="51" max="52" width="14" style="1" customWidth="1"/>
    <col min="53" max="53" width="10" style="1" customWidth="1"/>
    <col min="54" max="54" width="12" style="1" customWidth="1"/>
    <col min="55" max="56" width="14" style="1" customWidth="1"/>
    <col min="57" max="57" width="10" style="1" customWidth="1"/>
    <col min="58" max="58" width="8" style="1" customWidth="1"/>
    <col min="59" max="59" width="10" style="1" customWidth="1"/>
    <col min="60" max="60" width="8" style="1" customWidth="1"/>
    <col min="61" max="62" width="19" style="1" customWidth="1"/>
    <col min="63" max="63" width="10" style="1" customWidth="1"/>
    <col min="64" max="64" width="18" style="1" customWidth="1"/>
    <col min="65" max="66" width="9" style="1" customWidth="1"/>
    <col min="67" max="67" width="21" style="1" customWidth="1"/>
    <col min="68" max="68" width="25" style="1" customWidth="1"/>
    <col min="69" max="69" width="53" style="1" customWidth="1"/>
    <col min="70" max="70" width="54" style="1" customWidth="1"/>
    <col min="71" max="71" width="49" style="1" customWidth="1"/>
    <col min="72" max="72" width="45" style="1" customWidth="1"/>
    <col min="73" max="73" width="50" style="1" customWidth="1"/>
    <col min="74" max="74" width="42" style="1" customWidth="1"/>
    <col min="75" max="75" width="24" style="1" customWidth="1"/>
    <col min="76" max="76" width="27" style="1" customWidth="1"/>
    <col min="77" max="77" width="23" style="1" customWidth="1"/>
    <col min="78" max="78" width="29" style="1" customWidth="1"/>
    <col min="79" max="79" width="10" style="1" customWidth="1"/>
    <col min="80" max="80" width="23" style="1" customWidth="1"/>
    <col min="81" max="81" width="21" style="1" customWidth="1"/>
    <col min="82" max="82" width="20" style="1" customWidth="1"/>
    <col min="83" max="83" width="53" style="1" customWidth="1"/>
    <col min="84" max="84" width="52" style="1" customWidth="1"/>
    <col min="85" max="85" width="61" style="1" customWidth="1"/>
    <col min="86" max="86" width="34" style="1" customWidth="1"/>
    <col min="87" max="87" width="55" style="1" customWidth="1"/>
    <col min="88" max="89" width="56" style="1" customWidth="1"/>
    <col min="90" max="90" width="47" style="1" customWidth="1"/>
    <col min="91" max="91" width="46" style="1" customWidth="1"/>
    <col min="92" max="92" width="28" style="1" customWidth="1"/>
    <col min="93" max="93" width="54" style="1" customWidth="1"/>
    <col min="94" max="94" width="60" style="1" customWidth="1"/>
    <col min="95" max="95" width="27" style="1" customWidth="1"/>
    <col min="96" max="96" width="23" style="1" customWidth="1"/>
    <col min="97" max="97" width="26" style="1" customWidth="1"/>
    <col min="98" max="100" width="10" style="1" customWidth="1"/>
    <col min="101" max="101" width="9" style="1" customWidth="1"/>
    <col min="102" max="102" width="15" style="1" customWidth="1"/>
    <col min="103" max="103" width="13" style="1" customWidth="1"/>
    <col min="104" max="104" width="14" style="1" customWidth="1"/>
    <col min="105" max="105" width="15" style="1" customWidth="1"/>
    <col min="106" max="106" width="13" style="1" customWidth="1"/>
    <col min="107" max="107" width="8" style="1" customWidth="1"/>
    <col min="108" max="108" width="11" style="1" customWidth="1"/>
    <col min="109" max="109" width="10" style="1" customWidth="1"/>
    <col min="110" max="110" width="7" style="1" customWidth="1"/>
    <col min="111" max="16384" width="9" style="1"/>
  </cols>
  <sheetData>
    <row r="1" s="1" customFormat="1" spans="1:114">
      <c r="A1" s="2" t="s">
        <v>55</v>
      </c>
      <c r="B1" s="2" t="s">
        <v>1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74</v>
      </c>
      <c r="AY1" s="2"/>
      <c r="AZ1" s="2"/>
      <c r="BA1" s="2"/>
      <c r="BB1" s="2"/>
      <c r="BC1" s="2"/>
      <c r="BD1" s="2"/>
      <c r="BE1" s="2"/>
      <c r="BF1" s="2" t="s">
        <v>75</v>
      </c>
      <c r="BG1" s="2"/>
      <c r="BH1" s="2"/>
      <c r="BI1" s="2"/>
      <c r="BJ1" s="2"/>
      <c r="BK1" s="2"/>
      <c r="BL1" s="2"/>
      <c r="BM1" s="2"/>
      <c r="BN1" s="2" t="s">
        <v>76</v>
      </c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 t="s">
        <v>77</v>
      </c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</row>
    <row r="2" s="1" customFormat="1" spans="1:1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33</v>
      </c>
      <c r="U2" s="2"/>
      <c r="V2" s="2"/>
      <c r="W2" s="2"/>
      <c r="X2" s="2"/>
      <c r="Y2" s="2"/>
      <c r="Z2" s="2" t="s">
        <v>34</v>
      </c>
      <c r="AA2" s="2"/>
      <c r="AB2" s="2"/>
      <c r="AC2" s="2"/>
      <c r="AD2" s="2"/>
      <c r="AE2" s="2"/>
      <c r="AF2" s="2" t="s">
        <v>35</v>
      </c>
      <c r="AG2" s="2"/>
      <c r="AH2" s="2"/>
      <c r="AI2" s="2"/>
      <c r="AJ2" s="2"/>
      <c r="AK2" s="2"/>
      <c r="AL2" s="2" t="s">
        <v>36</v>
      </c>
      <c r="AM2" s="2"/>
      <c r="AN2" s="2"/>
      <c r="AO2" s="2"/>
      <c r="AP2" s="2"/>
      <c r="AQ2" s="2"/>
      <c r="AR2" s="2" t="s">
        <v>78</v>
      </c>
      <c r="AS2" s="2"/>
      <c r="AT2" s="2"/>
      <c r="AU2" s="2"/>
      <c r="AV2" s="2"/>
      <c r="AW2" s="2"/>
      <c r="AX2" s="2" t="s">
        <v>79</v>
      </c>
      <c r="AY2" s="2"/>
      <c r="AZ2" s="2"/>
      <c r="BA2" s="2"/>
      <c r="BB2" s="2" t="s">
        <v>80</v>
      </c>
      <c r="BC2" s="2"/>
      <c r="BD2" s="2"/>
      <c r="BE2" s="2"/>
      <c r="BF2" s="2" t="s">
        <v>81</v>
      </c>
      <c r="BG2" s="2" t="s">
        <v>82</v>
      </c>
      <c r="BH2" s="2" t="s">
        <v>28</v>
      </c>
      <c r="BI2" s="2" t="s">
        <v>83</v>
      </c>
      <c r="BJ2" s="2" t="s">
        <v>27</v>
      </c>
      <c r="BK2" s="2" t="s">
        <v>25</v>
      </c>
      <c r="BL2" s="2" t="s">
        <v>84</v>
      </c>
      <c r="BM2" s="2" t="s">
        <v>85</v>
      </c>
      <c r="BN2" s="2" t="s">
        <v>28</v>
      </c>
      <c r="BO2" s="2" t="s">
        <v>83</v>
      </c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 t="s">
        <v>27</v>
      </c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 t="s">
        <v>84</v>
      </c>
      <c r="CU2" s="2"/>
      <c r="CV2" s="2"/>
      <c r="CW2" s="2" t="s">
        <v>85</v>
      </c>
      <c r="CX2" s="2" t="s">
        <v>86</v>
      </c>
      <c r="CY2" s="2"/>
      <c r="CZ2" s="2"/>
      <c r="DA2" s="2"/>
      <c r="DB2" s="2"/>
      <c r="DC2" s="2"/>
      <c r="DD2" s="2" t="s">
        <v>87</v>
      </c>
      <c r="DE2" s="2"/>
      <c r="DF2" s="2" t="s">
        <v>88</v>
      </c>
      <c r="DG2" s="2"/>
      <c r="DH2" s="2" t="s">
        <v>29</v>
      </c>
      <c r="DI2" s="2" t="s">
        <v>89</v>
      </c>
      <c r="DJ2" s="2" t="s">
        <v>85</v>
      </c>
    </row>
    <row r="3" s="1" customFormat="1" ht="54" spans="1:1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59</v>
      </c>
      <c r="U3" s="2" t="s">
        <v>61</v>
      </c>
      <c r="V3" s="2" t="s">
        <v>60</v>
      </c>
      <c r="W3" s="2" t="s">
        <v>62</v>
      </c>
      <c r="X3" s="2" t="s">
        <v>67</v>
      </c>
      <c r="Y3" s="2" t="s">
        <v>68</v>
      </c>
      <c r="Z3" s="2" t="s">
        <v>59</v>
      </c>
      <c r="AA3" s="2" t="s">
        <v>61</v>
      </c>
      <c r="AB3" s="2" t="s">
        <v>60</v>
      </c>
      <c r="AC3" s="2" t="s">
        <v>62</v>
      </c>
      <c r="AD3" s="2" t="s">
        <v>67</v>
      </c>
      <c r="AE3" s="2" t="s">
        <v>68</v>
      </c>
      <c r="AF3" s="2" t="s">
        <v>59</v>
      </c>
      <c r="AG3" s="2" t="s">
        <v>61</v>
      </c>
      <c r="AH3" s="2" t="s">
        <v>60</v>
      </c>
      <c r="AI3" s="2" t="s">
        <v>62</v>
      </c>
      <c r="AJ3" s="2" t="s">
        <v>67</v>
      </c>
      <c r="AK3" s="2" t="s">
        <v>68</v>
      </c>
      <c r="AL3" s="2" t="s">
        <v>59</v>
      </c>
      <c r="AM3" s="2" t="s">
        <v>61</v>
      </c>
      <c r="AN3" s="2" t="s">
        <v>60</v>
      </c>
      <c r="AO3" s="2" t="s">
        <v>62</v>
      </c>
      <c r="AP3" s="2" t="s">
        <v>67</v>
      </c>
      <c r="AQ3" s="2" t="s">
        <v>68</v>
      </c>
      <c r="AR3" s="2" t="s">
        <v>59</v>
      </c>
      <c r="AS3" s="2" t="s">
        <v>61</v>
      </c>
      <c r="AT3" s="2" t="s">
        <v>60</v>
      </c>
      <c r="AU3" s="2" t="s">
        <v>62</v>
      </c>
      <c r="AV3" s="2" t="s">
        <v>67</v>
      </c>
      <c r="AW3" s="2" t="s">
        <v>68</v>
      </c>
      <c r="AX3" s="2" t="s">
        <v>59</v>
      </c>
      <c r="AY3" s="2" t="s">
        <v>61</v>
      </c>
      <c r="AZ3" s="2" t="s">
        <v>60</v>
      </c>
      <c r="BA3" s="2" t="s">
        <v>90</v>
      </c>
      <c r="BB3" s="2" t="s">
        <v>59</v>
      </c>
      <c r="BC3" s="2" t="s">
        <v>61</v>
      </c>
      <c r="BD3" s="2" t="s">
        <v>60</v>
      </c>
      <c r="BE3" s="2" t="s">
        <v>90</v>
      </c>
      <c r="BF3" s="2"/>
      <c r="BG3" s="2"/>
      <c r="BH3" s="2"/>
      <c r="BI3" s="2"/>
      <c r="BJ3" s="2"/>
      <c r="BK3" s="2"/>
      <c r="BL3" s="2"/>
      <c r="BM3" s="2"/>
      <c r="BN3" s="2" t="s">
        <v>91</v>
      </c>
      <c r="BO3" s="2" t="s">
        <v>92</v>
      </c>
      <c r="BP3" s="2" t="s">
        <v>93</v>
      </c>
      <c r="BQ3" s="2" t="s">
        <v>94</v>
      </c>
      <c r="BR3" s="2" t="s">
        <v>95</v>
      </c>
      <c r="BS3" s="2" t="s">
        <v>96</v>
      </c>
      <c r="BT3" s="2" t="s">
        <v>97</v>
      </c>
      <c r="BU3" s="2" t="s">
        <v>98</v>
      </c>
      <c r="BV3" s="2" t="s">
        <v>99</v>
      </c>
      <c r="BW3" s="2" t="s">
        <v>100</v>
      </c>
      <c r="BX3" s="2" t="s">
        <v>101</v>
      </c>
      <c r="BY3" s="2" t="s">
        <v>102</v>
      </c>
      <c r="BZ3" s="2" t="s">
        <v>26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111</v>
      </c>
      <c r="CJ3" s="2" t="s">
        <v>112</v>
      </c>
      <c r="CK3" s="2" t="s">
        <v>113</v>
      </c>
      <c r="CL3" s="2" t="s">
        <v>114</v>
      </c>
      <c r="CM3" s="2" t="s">
        <v>115</v>
      </c>
      <c r="CN3" s="2" t="s">
        <v>116</v>
      </c>
      <c r="CO3" s="2" t="s">
        <v>117</v>
      </c>
      <c r="CP3" s="2" t="s">
        <v>118</v>
      </c>
      <c r="CQ3" s="2" t="s">
        <v>100</v>
      </c>
      <c r="CR3" s="2" t="s">
        <v>101</v>
      </c>
      <c r="CS3" s="2" t="s">
        <v>119</v>
      </c>
      <c r="CT3" s="2" t="s">
        <v>35</v>
      </c>
      <c r="CU3" s="2" t="s">
        <v>36</v>
      </c>
      <c r="CV3" s="2" t="s">
        <v>78</v>
      </c>
      <c r="CW3" s="2"/>
      <c r="CX3" s="2" t="s">
        <v>120</v>
      </c>
      <c r="CY3" s="2" t="s">
        <v>121</v>
      </c>
      <c r="CZ3" s="2" t="s">
        <v>122</v>
      </c>
      <c r="DA3" s="2" t="s">
        <v>123</v>
      </c>
      <c r="DB3" s="2" t="s">
        <v>124</v>
      </c>
      <c r="DC3" s="2" t="s">
        <v>125</v>
      </c>
      <c r="DD3" s="2" t="s">
        <v>126</v>
      </c>
      <c r="DE3" s="2" t="s">
        <v>127</v>
      </c>
      <c r="DF3" s="2" t="s">
        <v>128</v>
      </c>
      <c r="DG3" s="2" t="s">
        <v>129</v>
      </c>
      <c r="DH3" s="2" t="s">
        <v>130</v>
      </c>
      <c r="DI3" s="2" t="s">
        <v>131</v>
      </c>
      <c r="DJ3" s="2"/>
    </row>
    <row r="4" s="1" customFormat="1" spans="1:114">
      <c r="A4" s="3" t="s">
        <v>132</v>
      </c>
      <c r="B4" s="3" t="s">
        <v>3</v>
      </c>
      <c r="C4" s="3" t="s">
        <v>133</v>
      </c>
      <c r="D4" s="3" t="s">
        <v>134</v>
      </c>
      <c r="E4" s="4">
        <v>1</v>
      </c>
      <c r="F4" s="5">
        <v>3695.02</v>
      </c>
      <c r="G4" s="5">
        <v>1446.73</v>
      </c>
      <c r="H4" s="5">
        <v>2248.29</v>
      </c>
      <c r="I4" s="4">
        <v>93</v>
      </c>
      <c r="J4" s="4">
        <v>46</v>
      </c>
      <c r="K4" s="4">
        <v>8</v>
      </c>
      <c r="L4" s="5">
        <v>80.33</v>
      </c>
      <c r="M4" s="5">
        <v>48.88</v>
      </c>
      <c r="N4" s="5">
        <v>39.73</v>
      </c>
      <c r="O4" s="5">
        <v>24.18</v>
      </c>
      <c r="P4" s="6">
        <v>0.2667</v>
      </c>
      <c r="Q4" s="6">
        <v>0</v>
      </c>
      <c r="R4" s="6">
        <v>0.3833</v>
      </c>
      <c r="S4" s="4">
        <v>1</v>
      </c>
      <c r="T4" s="5">
        <v>1381.52</v>
      </c>
      <c r="U4" s="5">
        <v>1272.32</v>
      </c>
      <c r="V4" s="5">
        <v>109.2</v>
      </c>
      <c r="W4" s="4">
        <v>40</v>
      </c>
      <c r="X4" s="5">
        <v>34.54</v>
      </c>
      <c r="Y4" s="5">
        <v>31.81</v>
      </c>
      <c r="Z4" s="5">
        <v>0</v>
      </c>
      <c r="AA4" s="5">
        <v>0</v>
      </c>
      <c r="AB4" s="5">
        <v>0</v>
      </c>
      <c r="AC4" s="4">
        <v>0</v>
      </c>
      <c r="AD4" s="5">
        <v>0</v>
      </c>
      <c r="AE4" s="5">
        <v>0</v>
      </c>
      <c r="AF4" s="5">
        <v>985.2</v>
      </c>
      <c r="AG4" s="5">
        <v>427.09</v>
      </c>
      <c r="AH4" s="5">
        <v>558.11</v>
      </c>
      <c r="AI4" s="4">
        <v>19</v>
      </c>
      <c r="AJ4" s="5">
        <v>51.85</v>
      </c>
      <c r="AK4" s="5">
        <v>22.48</v>
      </c>
      <c r="AL4" s="5">
        <v>1044.9</v>
      </c>
      <c r="AM4" s="5">
        <v>432.07</v>
      </c>
      <c r="AN4" s="5">
        <v>612.83</v>
      </c>
      <c r="AO4" s="4">
        <v>26</v>
      </c>
      <c r="AP4" s="5">
        <v>40.19</v>
      </c>
      <c r="AQ4" s="5">
        <v>16.62</v>
      </c>
      <c r="AR4" s="5">
        <v>283.4</v>
      </c>
      <c r="AS4" s="5">
        <v>116.81</v>
      </c>
      <c r="AT4" s="5">
        <v>166.59</v>
      </c>
      <c r="AU4" s="4">
        <v>8</v>
      </c>
      <c r="AV4" s="5">
        <v>35.43</v>
      </c>
      <c r="AW4" s="5">
        <v>14.6</v>
      </c>
      <c r="AX4" s="5">
        <v>3626.22</v>
      </c>
      <c r="AY4" s="5">
        <v>2219.97</v>
      </c>
      <c r="AZ4" s="5">
        <v>1406.25</v>
      </c>
      <c r="BA4" s="7">
        <v>124.24</v>
      </c>
      <c r="BB4" s="5">
        <v>68.8</v>
      </c>
      <c r="BC4" s="5">
        <v>28.32</v>
      </c>
      <c r="BD4" s="5">
        <v>40.48</v>
      </c>
      <c r="BE4" s="4">
        <v>50</v>
      </c>
      <c r="BF4" s="5">
        <v>71</v>
      </c>
      <c r="BG4" s="5">
        <v>963.52</v>
      </c>
      <c r="BH4" s="5">
        <v>0</v>
      </c>
      <c r="BI4" s="5">
        <v>64.4</v>
      </c>
      <c r="BJ4" s="5">
        <v>173.4</v>
      </c>
      <c r="BK4" s="5">
        <v>0</v>
      </c>
      <c r="BL4" s="5">
        <v>975.97</v>
      </c>
      <c r="BM4" s="5">
        <v>2248.29</v>
      </c>
      <c r="BN4" s="5">
        <v>0</v>
      </c>
      <c r="BO4" s="5">
        <v>0</v>
      </c>
      <c r="BP4" s="5">
        <v>0</v>
      </c>
      <c r="BQ4" s="5">
        <v>52.8</v>
      </c>
      <c r="BR4" s="5">
        <v>0</v>
      </c>
      <c r="BS4" s="5">
        <v>0</v>
      </c>
      <c r="BT4" s="5">
        <v>4.2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22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22.4</v>
      </c>
      <c r="CL4" s="5">
        <v>0</v>
      </c>
      <c r="CM4" s="5">
        <v>0</v>
      </c>
      <c r="CN4" s="5">
        <v>5.2</v>
      </c>
      <c r="CO4" s="5">
        <v>1.2</v>
      </c>
      <c r="CP4" s="5">
        <v>0</v>
      </c>
      <c r="CQ4" s="5">
        <v>0</v>
      </c>
      <c r="CR4" s="5">
        <v>0</v>
      </c>
      <c r="CS4" s="5">
        <v>0</v>
      </c>
      <c r="CT4" s="5">
        <v>558.11</v>
      </c>
      <c r="CU4" s="5">
        <v>612.83</v>
      </c>
      <c r="CV4" s="5">
        <v>166.59</v>
      </c>
      <c r="CW4" s="5">
        <v>1445.33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1.2</v>
      </c>
      <c r="DG4" s="5">
        <v>0</v>
      </c>
      <c r="DH4" s="5">
        <v>0</v>
      </c>
      <c r="DI4" s="5">
        <v>0.2</v>
      </c>
      <c r="DJ4" s="5">
        <v>1.4</v>
      </c>
    </row>
    <row r="5" s="1" customFormat="1" spans="1:114">
      <c r="A5" s="3" t="s">
        <v>132</v>
      </c>
      <c r="B5" s="3" t="s">
        <v>4</v>
      </c>
      <c r="C5" s="3" t="s">
        <v>133</v>
      </c>
      <c r="D5" s="3" t="s">
        <v>135</v>
      </c>
      <c r="E5" s="4">
        <v>1</v>
      </c>
      <c r="F5" s="5">
        <v>5924.51</v>
      </c>
      <c r="G5" s="5">
        <v>1614.96</v>
      </c>
      <c r="H5" s="5">
        <v>4309.55</v>
      </c>
      <c r="I5" s="4">
        <v>140</v>
      </c>
      <c r="J5" s="4">
        <v>93</v>
      </c>
      <c r="K5" s="4">
        <v>24</v>
      </c>
      <c r="L5" s="5">
        <v>63.7</v>
      </c>
      <c r="M5" s="5">
        <v>46.34</v>
      </c>
      <c r="N5" s="5">
        <v>42.32</v>
      </c>
      <c r="O5" s="5">
        <v>30.78</v>
      </c>
      <c r="P5" s="6">
        <v>0.9231</v>
      </c>
      <c r="Q5" s="6">
        <v>0</v>
      </c>
      <c r="R5" s="6">
        <v>0.8942</v>
      </c>
      <c r="S5" s="4">
        <v>1</v>
      </c>
      <c r="T5" s="5">
        <v>3024.85</v>
      </c>
      <c r="U5" s="5">
        <v>2982.35</v>
      </c>
      <c r="V5" s="5">
        <v>42.5</v>
      </c>
      <c r="W5" s="4">
        <v>81</v>
      </c>
      <c r="X5" s="5">
        <v>37.34</v>
      </c>
      <c r="Y5" s="5">
        <v>36.82</v>
      </c>
      <c r="Z5" s="5">
        <v>0</v>
      </c>
      <c r="AA5" s="5">
        <v>0</v>
      </c>
      <c r="AB5" s="5">
        <v>0</v>
      </c>
      <c r="AC5" s="4">
        <v>0</v>
      </c>
      <c r="AD5" s="5">
        <v>0</v>
      </c>
      <c r="AE5" s="5">
        <v>0</v>
      </c>
      <c r="AF5" s="5">
        <v>1111.6</v>
      </c>
      <c r="AG5" s="5">
        <v>586.99</v>
      </c>
      <c r="AH5" s="5">
        <v>524.61</v>
      </c>
      <c r="AI5" s="4">
        <v>18</v>
      </c>
      <c r="AJ5" s="5">
        <v>61.76</v>
      </c>
      <c r="AK5" s="5">
        <v>32.61</v>
      </c>
      <c r="AL5" s="5">
        <v>1144.87</v>
      </c>
      <c r="AM5" s="5">
        <v>464.87</v>
      </c>
      <c r="AN5" s="5">
        <v>680</v>
      </c>
      <c r="AO5" s="4">
        <v>23</v>
      </c>
      <c r="AP5" s="5">
        <v>49.78</v>
      </c>
      <c r="AQ5" s="5">
        <v>20.21</v>
      </c>
      <c r="AR5" s="5">
        <v>643.19</v>
      </c>
      <c r="AS5" s="5">
        <v>275.34</v>
      </c>
      <c r="AT5" s="5">
        <v>367.85</v>
      </c>
      <c r="AU5" s="4">
        <v>18</v>
      </c>
      <c r="AV5" s="5">
        <v>35.73</v>
      </c>
      <c r="AW5" s="5">
        <v>15.3</v>
      </c>
      <c r="AX5" s="5">
        <v>5833.71</v>
      </c>
      <c r="AY5" s="5">
        <v>4268.68</v>
      </c>
      <c r="AZ5" s="5">
        <v>1565.03</v>
      </c>
      <c r="BA5" s="7">
        <v>285.756</v>
      </c>
      <c r="BB5" s="5">
        <v>90.8</v>
      </c>
      <c r="BC5" s="5">
        <v>40.87</v>
      </c>
      <c r="BD5" s="5">
        <v>49.93</v>
      </c>
      <c r="BE5" s="4">
        <v>55</v>
      </c>
      <c r="BF5" s="5">
        <v>184</v>
      </c>
      <c r="BG5" s="5">
        <v>2403.85</v>
      </c>
      <c r="BH5" s="5">
        <v>36.2</v>
      </c>
      <c r="BI5" s="5">
        <v>105.2</v>
      </c>
      <c r="BJ5" s="5">
        <v>253.1</v>
      </c>
      <c r="BK5" s="5">
        <v>0</v>
      </c>
      <c r="BL5" s="5">
        <v>1327.2</v>
      </c>
      <c r="BM5" s="5">
        <v>4309.55</v>
      </c>
      <c r="BN5" s="5">
        <v>1.8</v>
      </c>
      <c r="BO5" s="5">
        <v>0</v>
      </c>
      <c r="BP5" s="5">
        <v>6</v>
      </c>
      <c r="BQ5" s="5">
        <v>0</v>
      </c>
      <c r="BR5" s="5">
        <v>0</v>
      </c>
      <c r="BS5" s="5">
        <v>0</v>
      </c>
      <c r="BT5" s="5">
        <v>5.2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17.5</v>
      </c>
      <c r="CF5" s="5">
        <v>0</v>
      </c>
      <c r="CG5" s="5">
        <v>0</v>
      </c>
      <c r="CH5" s="5">
        <v>0</v>
      </c>
      <c r="CI5" s="5">
        <v>0</v>
      </c>
      <c r="CJ5" s="5">
        <v>8</v>
      </c>
      <c r="CK5" s="5">
        <v>0</v>
      </c>
      <c r="CL5" s="5">
        <v>4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524.61</v>
      </c>
      <c r="CU5" s="5">
        <v>680</v>
      </c>
      <c r="CV5" s="5">
        <v>367.85</v>
      </c>
      <c r="CW5" s="5">
        <v>1614.96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</row>
    <row r="6" s="1" customFormat="1" spans="1:114">
      <c r="A6" s="3" t="s">
        <v>132</v>
      </c>
      <c r="B6" s="3" t="s">
        <v>5</v>
      </c>
      <c r="C6" s="3" t="s">
        <v>133</v>
      </c>
      <c r="D6" s="3" t="s">
        <v>136</v>
      </c>
      <c r="E6" s="4">
        <v>1</v>
      </c>
      <c r="F6" s="5">
        <v>3425.3</v>
      </c>
      <c r="G6" s="5">
        <v>388.99</v>
      </c>
      <c r="H6" s="5">
        <v>3036.31</v>
      </c>
      <c r="I6" s="4">
        <v>92</v>
      </c>
      <c r="J6" s="4">
        <v>108</v>
      </c>
      <c r="K6" s="4">
        <v>30</v>
      </c>
      <c r="L6" s="5">
        <v>31.72</v>
      </c>
      <c r="M6" s="5">
        <v>28.11</v>
      </c>
      <c r="N6" s="5">
        <v>37.23</v>
      </c>
      <c r="O6" s="5">
        <v>33</v>
      </c>
      <c r="P6" s="6">
        <v>2.3077</v>
      </c>
      <c r="Q6" s="6">
        <v>1.3077</v>
      </c>
      <c r="R6" s="6">
        <v>2.0769</v>
      </c>
      <c r="S6" s="4">
        <v>1</v>
      </c>
      <c r="T6" s="5">
        <v>2792.8</v>
      </c>
      <c r="U6" s="5">
        <v>2754.9</v>
      </c>
      <c r="V6" s="5">
        <v>37.9</v>
      </c>
      <c r="W6" s="4">
        <v>80</v>
      </c>
      <c r="X6" s="5">
        <v>34.91</v>
      </c>
      <c r="Y6" s="5">
        <v>34.44</v>
      </c>
      <c r="Z6" s="5">
        <v>0</v>
      </c>
      <c r="AA6" s="5">
        <v>0</v>
      </c>
      <c r="AB6" s="5">
        <v>0</v>
      </c>
      <c r="AC6" s="4">
        <v>0</v>
      </c>
      <c r="AD6" s="5">
        <v>0</v>
      </c>
      <c r="AE6" s="5">
        <v>0</v>
      </c>
      <c r="AF6" s="5">
        <v>632.5</v>
      </c>
      <c r="AG6" s="5">
        <v>281.41</v>
      </c>
      <c r="AH6" s="5">
        <v>351.09</v>
      </c>
      <c r="AI6" s="4">
        <v>12</v>
      </c>
      <c r="AJ6" s="5">
        <v>52.71</v>
      </c>
      <c r="AK6" s="5">
        <v>23.45</v>
      </c>
      <c r="AL6" s="5">
        <v>0</v>
      </c>
      <c r="AM6" s="5">
        <v>0</v>
      </c>
      <c r="AN6" s="5">
        <v>0</v>
      </c>
      <c r="AO6" s="4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4">
        <v>0</v>
      </c>
      <c r="AV6" s="5">
        <v>0</v>
      </c>
      <c r="AW6" s="5">
        <v>0</v>
      </c>
      <c r="AX6" s="5">
        <v>3411.8</v>
      </c>
      <c r="AY6" s="5">
        <v>3030.31</v>
      </c>
      <c r="AZ6" s="5">
        <v>381.49</v>
      </c>
      <c r="BA6" s="7">
        <v>148.1</v>
      </c>
      <c r="BB6" s="5">
        <v>13.5</v>
      </c>
      <c r="BC6" s="5">
        <v>6</v>
      </c>
      <c r="BD6" s="5">
        <v>7.5</v>
      </c>
      <c r="BE6" s="4">
        <v>10</v>
      </c>
      <c r="BF6" s="5">
        <v>39</v>
      </c>
      <c r="BG6" s="5">
        <v>2551</v>
      </c>
      <c r="BH6" s="5">
        <v>0</v>
      </c>
      <c r="BI6" s="5">
        <v>61.6</v>
      </c>
      <c r="BJ6" s="5">
        <v>103.3</v>
      </c>
      <c r="BK6" s="5">
        <v>0</v>
      </c>
      <c r="BL6" s="5">
        <v>281.41</v>
      </c>
      <c r="BM6" s="5">
        <v>3036.31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10.4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24.5</v>
      </c>
      <c r="CF6" s="5">
        <v>0</v>
      </c>
      <c r="CG6" s="5">
        <v>0</v>
      </c>
      <c r="CH6" s="5">
        <v>0</v>
      </c>
      <c r="CI6" s="5">
        <v>0</v>
      </c>
      <c r="CJ6" s="5">
        <v>3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351.09</v>
      </c>
      <c r="CU6" s="5">
        <v>0</v>
      </c>
      <c r="CV6" s="5">
        <v>0</v>
      </c>
      <c r="CW6" s="5">
        <v>388.99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</row>
    <row r="7" s="1" customFormat="1" spans="1:114">
      <c r="A7" s="3" t="s">
        <v>132</v>
      </c>
      <c r="B7" s="3" t="s">
        <v>6</v>
      </c>
      <c r="C7" s="3" t="s">
        <v>133</v>
      </c>
      <c r="D7" s="3" t="s">
        <v>137</v>
      </c>
      <c r="E7" s="4">
        <v>1</v>
      </c>
      <c r="F7" s="5">
        <v>5636.46</v>
      </c>
      <c r="G7" s="5">
        <v>2152.86</v>
      </c>
      <c r="H7" s="5">
        <v>3483.6</v>
      </c>
      <c r="I7" s="4">
        <v>130</v>
      </c>
      <c r="J7" s="4">
        <v>88</v>
      </c>
      <c r="K7" s="4">
        <v>29</v>
      </c>
      <c r="L7" s="5">
        <v>64.05</v>
      </c>
      <c r="M7" s="5">
        <v>39.59</v>
      </c>
      <c r="N7" s="5">
        <v>43.36</v>
      </c>
      <c r="O7" s="5">
        <v>26.8</v>
      </c>
      <c r="P7" s="6">
        <v>1.2083</v>
      </c>
      <c r="Q7" s="6">
        <v>0.2083</v>
      </c>
      <c r="R7" s="6">
        <v>0.9167</v>
      </c>
      <c r="S7" s="4">
        <v>1</v>
      </c>
      <c r="T7" s="5">
        <v>2883.27</v>
      </c>
      <c r="U7" s="5">
        <v>2356.48</v>
      </c>
      <c r="V7" s="5">
        <v>526.79</v>
      </c>
      <c r="W7" s="4">
        <v>78</v>
      </c>
      <c r="X7" s="5">
        <v>36.97</v>
      </c>
      <c r="Y7" s="5">
        <v>30.21</v>
      </c>
      <c r="Z7" s="5">
        <v>0</v>
      </c>
      <c r="AA7" s="5">
        <v>0</v>
      </c>
      <c r="AB7" s="5">
        <v>0</v>
      </c>
      <c r="AC7" s="4">
        <v>0</v>
      </c>
      <c r="AD7" s="5">
        <v>0</v>
      </c>
      <c r="AE7" s="5">
        <v>0</v>
      </c>
      <c r="AF7" s="5">
        <v>1271.6</v>
      </c>
      <c r="AG7" s="5">
        <v>531.69</v>
      </c>
      <c r="AH7" s="5">
        <v>739.91</v>
      </c>
      <c r="AI7" s="4">
        <v>22</v>
      </c>
      <c r="AJ7" s="5">
        <v>57.8</v>
      </c>
      <c r="AK7" s="5">
        <v>24.17</v>
      </c>
      <c r="AL7" s="5">
        <v>1377.19</v>
      </c>
      <c r="AM7" s="5">
        <v>536.03</v>
      </c>
      <c r="AN7" s="5">
        <v>841.16</v>
      </c>
      <c r="AO7" s="4">
        <v>27</v>
      </c>
      <c r="AP7" s="5">
        <v>51.01</v>
      </c>
      <c r="AQ7" s="5">
        <v>19.85</v>
      </c>
      <c r="AR7" s="5">
        <v>104.4</v>
      </c>
      <c r="AS7" s="5">
        <v>59.4</v>
      </c>
      <c r="AT7" s="5">
        <v>45</v>
      </c>
      <c r="AU7" s="4">
        <v>3</v>
      </c>
      <c r="AV7" s="5">
        <v>34.8</v>
      </c>
      <c r="AW7" s="5">
        <v>19.8</v>
      </c>
      <c r="AX7" s="5">
        <v>5575.86</v>
      </c>
      <c r="AY7" s="5">
        <v>3455.84</v>
      </c>
      <c r="AZ7" s="5">
        <v>2120.02</v>
      </c>
      <c r="BA7" s="7">
        <v>188.365</v>
      </c>
      <c r="BB7" s="5">
        <v>60.6</v>
      </c>
      <c r="BC7" s="5">
        <v>27.76</v>
      </c>
      <c r="BD7" s="5">
        <v>32.84</v>
      </c>
      <c r="BE7" s="4">
        <v>46</v>
      </c>
      <c r="BF7" s="5">
        <v>54</v>
      </c>
      <c r="BG7" s="5">
        <v>1387.17</v>
      </c>
      <c r="BH7" s="5">
        <v>68.58</v>
      </c>
      <c r="BI7" s="5">
        <v>236.3</v>
      </c>
      <c r="BJ7" s="5">
        <v>608.43</v>
      </c>
      <c r="BK7" s="5">
        <v>2</v>
      </c>
      <c r="BL7" s="5">
        <v>1127.12</v>
      </c>
      <c r="BM7" s="5">
        <v>3483.6</v>
      </c>
      <c r="BN7" s="5">
        <v>3.42</v>
      </c>
      <c r="BO7" s="5">
        <v>0</v>
      </c>
      <c r="BP7" s="5">
        <v>45.6</v>
      </c>
      <c r="BQ7" s="5">
        <v>0</v>
      </c>
      <c r="BR7" s="5">
        <v>0</v>
      </c>
      <c r="BS7" s="5">
        <v>15.2</v>
      </c>
      <c r="BT7" s="5">
        <v>0</v>
      </c>
      <c r="BU7" s="5">
        <v>0</v>
      </c>
      <c r="BV7" s="5">
        <v>15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13.1</v>
      </c>
      <c r="CE7" s="5">
        <v>352.3</v>
      </c>
      <c r="CF7" s="5">
        <v>0</v>
      </c>
      <c r="CG7" s="5">
        <v>0</v>
      </c>
      <c r="CH7" s="5">
        <v>0</v>
      </c>
      <c r="CI7" s="5">
        <v>0</v>
      </c>
      <c r="CJ7" s="5">
        <v>45.6</v>
      </c>
      <c r="CK7" s="5">
        <v>0</v>
      </c>
      <c r="CL7" s="5">
        <v>0</v>
      </c>
      <c r="CM7" s="5">
        <v>7.2</v>
      </c>
      <c r="CN7" s="5">
        <v>11.4</v>
      </c>
      <c r="CO7" s="5">
        <v>17.97</v>
      </c>
      <c r="CP7" s="5">
        <v>0</v>
      </c>
      <c r="CQ7" s="5">
        <v>0</v>
      </c>
      <c r="CR7" s="5">
        <v>0</v>
      </c>
      <c r="CS7" s="5">
        <v>0</v>
      </c>
      <c r="CT7" s="5">
        <v>739.91</v>
      </c>
      <c r="CU7" s="5">
        <v>841.16</v>
      </c>
      <c r="CV7" s="5">
        <v>45</v>
      </c>
      <c r="CW7" s="5">
        <v>2152.86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</row>
    <row r="8" s="1" customFormat="1" spans="1:114">
      <c r="A8" s="3" t="s">
        <v>138</v>
      </c>
      <c r="B8" s="3" t="s">
        <v>139</v>
      </c>
      <c r="C8" s="3" t="s">
        <v>133</v>
      </c>
      <c r="D8" s="3" t="s">
        <v>140</v>
      </c>
      <c r="E8" s="4">
        <v>1</v>
      </c>
      <c r="F8" s="5">
        <v>5174.4</v>
      </c>
      <c r="G8" s="5">
        <v>633.94</v>
      </c>
      <c r="H8" s="5">
        <v>4540.46</v>
      </c>
      <c r="I8" s="4">
        <v>100</v>
      </c>
      <c r="J8" s="4">
        <v>116</v>
      </c>
      <c r="K8" s="4">
        <v>35</v>
      </c>
      <c r="L8" s="5">
        <v>44.61</v>
      </c>
      <c r="M8" s="5">
        <v>39.14</v>
      </c>
      <c r="N8" s="5">
        <v>51.74</v>
      </c>
      <c r="O8" s="5">
        <v>45.4</v>
      </c>
      <c r="P8" s="6">
        <v>1.6667</v>
      </c>
      <c r="Q8" s="6">
        <v>0.6667</v>
      </c>
      <c r="R8" s="6">
        <v>2.0714</v>
      </c>
      <c r="S8" s="4">
        <v>1</v>
      </c>
      <c r="T8" s="5">
        <v>5174.4</v>
      </c>
      <c r="U8" s="5">
        <v>4540.46</v>
      </c>
      <c r="V8" s="5">
        <v>633.94</v>
      </c>
      <c r="W8" s="4">
        <v>100</v>
      </c>
      <c r="X8" s="5">
        <v>51.74</v>
      </c>
      <c r="Y8" s="5">
        <v>45.4</v>
      </c>
      <c r="Z8" s="5">
        <v>0</v>
      </c>
      <c r="AA8" s="5">
        <v>0</v>
      </c>
      <c r="AB8" s="5">
        <v>0</v>
      </c>
      <c r="AC8" s="4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4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4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4">
        <v>0</v>
      </c>
      <c r="AV8" s="5">
        <v>0</v>
      </c>
      <c r="AW8" s="5">
        <v>0</v>
      </c>
      <c r="AX8" s="5">
        <v>5174.4</v>
      </c>
      <c r="AY8" s="5">
        <v>4540.46</v>
      </c>
      <c r="AZ8" s="5">
        <v>633.94</v>
      </c>
      <c r="BA8" s="7">
        <v>147.46</v>
      </c>
      <c r="BB8" s="5">
        <v>0</v>
      </c>
      <c r="BC8" s="5">
        <v>0</v>
      </c>
      <c r="BD8" s="5">
        <v>0</v>
      </c>
      <c r="BE8" s="4">
        <v>0</v>
      </c>
      <c r="BF8" s="5">
        <v>98</v>
      </c>
      <c r="BG8" s="5">
        <v>4262.51</v>
      </c>
      <c r="BH8" s="5">
        <v>179.95</v>
      </c>
      <c r="BI8" s="5">
        <v>0</v>
      </c>
      <c r="BJ8" s="5">
        <v>0</v>
      </c>
      <c r="BK8" s="5">
        <v>0</v>
      </c>
      <c r="BL8" s="5">
        <v>0</v>
      </c>
      <c r="BM8" s="5">
        <v>4540.46</v>
      </c>
      <c r="BN8" s="5">
        <v>10.13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10.13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584.57</v>
      </c>
      <c r="DE8" s="5">
        <v>0</v>
      </c>
      <c r="DF8" s="5">
        <v>28.8</v>
      </c>
      <c r="DG8" s="5">
        <v>9</v>
      </c>
      <c r="DH8" s="5">
        <v>0</v>
      </c>
      <c r="DI8" s="5">
        <v>1.44</v>
      </c>
      <c r="DJ8" s="5">
        <v>623.81</v>
      </c>
    </row>
    <row r="9" s="1" customFormat="1" spans="1:114">
      <c r="A9" s="3" t="s">
        <v>132</v>
      </c>
      <c r="B9" s="3" t="s">
        <v>7</v>
      </c>
      <c r="C9" s="3" t="s">
        <v>133</v>
      </c>
      <c r="D9" s="3" t="s">
        <v>141</v>
      </c>
      <c r="E9" s="4">
        <v>1</v>
      </c>
      <c r="F9" s="5">
        <v>5649.76</v>
      </c>
      <c r="G9" s="5">
        <v>1572.41</v>
      </c>
      <c r="H9" s="5">
        <v>4077.35</v>
      </c>
      <c r="I9" s="4">
        <v>112</v>
      </c>
      <c r="J9" s="4">
        <v>79</v>
      </c>
      <c r="K9" s="4">
        <v>18</v>
      </c>
      <c r="L9" s="5">
        <v>71.52</v>
      </c>
      <c r="M9" s="5">
        <v>51.61</v>
      </c>
      <c r="N9" s="5">
        <v>50.44</v>
      </c>
      <c r="O9" s="5">
        <v>36.4</v>
      </c>
      <c r="P9" s="6">
        <v>0.6</v>
      </c>
      <c r="Q9" s="6">
        <v>0</v>
      </c>
      <c r="R9" s="6">
        <v>0.6583</v>
      </c>
      <c r="S9" s="4">
        <v>1</v>
      </c>
      <c r="T9" s="5">
        <v>3056.81</v>
      </c>
      <c r="U9" s="5">
        <v>2958.72</v>
      </c>
      <c r="V9" s="5">
        <v>98.09</v>
      </c>
      <c r="W9" s="4">
        <v>67</v>
      </c>
      <c r="X9" s="5">
        <v>45.62</v>
      </c>
      <c r="Y9" s="5">
        <v>44.16</v>
      </c>
      <c r="Z9" s="5">
        <v>0</v>
      </c>
      <c r="AA9" s="5">
        <v>0</v>
      </c>
      <c r="AB9" s="5">
        <v>0</v>
      </c>
      <c r="AC9" s="4">
        <v>0</v>
      </c>
      <c r="AD9" s="5">
        <v>0</v>
      </c>
      <c r="AE9" s="5">
        <v>0</v>
      </c>
      <c r="AF9" s="5">
        <v>1168.47</v>
      </c>
      <c r="AG9" s="5">
        <v>485.15</v>
      </c>
      <c r="AH9" s="5">
        <v>683.32</v>
      </c>
      <c r="AI9" s="4">
        <v>24</v>
      </c>
      <c r="AJ9" s="5">
        <v>48.69</v>
      </c>
      <c r="AK9" s="5">
        <v>20.21</v>
      </c>
      <c r="AL9" s="5">
        <v>1424.48</v>
      </c>
      <c r="AM9" s="5">
        <v>633.48</v>
      </c>
      <c r="AN9" s="5">
        <v>791</v>
      </c>
      <c r="AO9" s="4">
        <v>21</v>
      </c>
      <c r="AP9" s="5">
        <v>67.83</v>
      </c>
      <c r="AQ9" s="5">
        <v>30.17</v>
      </c>
      <c r="AR9" s="5">
        <v>0</v>
      </c>
      <c r="AS9" s="5">
        <v>0</v>
      </c>
      <c r="AT9" s="5">
        <v>0</v>
      </c>
      <c r="AU9" s="4">
        <v>0</v>
      </c>
      <c r="AV9" s="5">
        <v>0</v>
      </c>
      <c r="AW9" s="5">
        <v>0</v>
      </c>
      <c r="AX9" s="5">
        <v>5591.66</v>
      </c>
      <c r="AY9" s="5">
        <v>4052.82</v>
      </c>
      <c r="AZ9" s="5">
        <v>1538.84</v>
      </c>
      <c r="BA9" s="7">
        <v>174.176</v>
      </c>
      <c r="BB9" s="5">
        <v>58.1</v>
      </c>
      <c r="BC9" s="5">
        <v>24.53</v>
      </c>
      <c r="BD9" s="5">
        <v>33.57</v>
      </c>
      <c r="BE9" s="4">
        <v>42</v>
      </c>
      <c r="BF9" s="5">
        <v>0</v>
      </c>
      <c r="BG9" s="5">
        <v>2574</v>
      </c>
      <c r="BH9" s="5">
        <v>0</v>
      </c>
      <c r="BI9" s="5">
        <v>92.6</v>
      </c>
      <c r="BJ9" s="5">
        <v>291.12</v>
      </c>
      <c r="BK9" s="5">
        <v>1</v>
      </c>
      <c r="BL9" s="5">
        <v>1118.63</v>
      </c>
      <c r="BM9" s="5">
        <v>4077.35</v>
      </c>
      <c r="BN9" s="5">
        <v>0</v>
      </c>
      <c r="BO9" s="5">
        <v>0</v>
      </c>
      <c r="BP9" s="5">
        <v>3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5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27.5</v>
      </c>
      <c r="CF9" s="5">
        <v>0</v>
      </c>
      <c r="CG9" s="5">
        <v>0</v>
      </c>
      <c r="CH9" s="5">
        <v>0</v>
      </c>
      <c r="CI9" s="5">
        <v>0</v>
      </c>
      <c r="CJ9" s="5">
        <v>4</v>
      </c>
      <c r="CK9" s="5">
        <v>0</v>
      </c>
      <c r="CL9" s="5">
        <v>0</v>
      </c>
      <c r="CM9" s="5">
        <v>2</v>
      </c>
      <c r="CN9" s="5">
        <v>10.4</v>
      </c>
      <c r="CO9" s="5">
        <v>15.98</v>
      </c>
      <c r="CP9" s="5">
        <v>14</v>
      </c>
      <c r="CQ9" s="5">
        <v>0</v>
      </c>
      <c r="CR9" s="5">
        <v>0</v>
      </c>
      <c r="CS9" s="5">
        <v>0</v>
      </c>
      <c r="CT9" s="5">
        <v>683.32</v>
      </c>
      <c r="CU9" s="5">
        <v>791</v>
      </c>
      <c r="CV9" s="5">
        <v>0</v>
      </c>
      <c r="CW9" s="5">
        <v>1556.2</v>
      </c>
      <c r="CX9" s="5">
        <v>12</v>
      </c>
      <c r="CY9" s="5">
        <v>0</v>
      </c>
      <c r="CZ9" s="5">
        <v>0</v>
      </c>
      <c r="DA9" s="5">
        <v>1.92</v>
      </c>
      <c r="DB9" s="5">
        <v>0</v>
      </c>
      <c r="DC9" s="5">
        <v>2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0.29</v>
      </c>
      <c r="DJ9" s="5">
        <v>16.21</v>
      </c>
    </row>
    <row r="10" s="1" customFormat="1" spans="1:114">
      <c r="A10" s="3" t="s">
        <v>132</v>
      </c>
      <c r="B10" s="3" t="s">
        <v>8</v>
      </c>
      <c r="C10" s="3" t="s">
        <v>133</v>
      </c>
      <c r="D10" s="3" t="s">
        <v>142</v>
      </c>
      <c r="E10" s="4">
        <v>1</v>
      </c>
      <c r="F10" s="5">
        <v>9381.7</v>
      </c>
      <c r="G10" s="5">
        <v>3255.19</v>
      </c>
      <c r="H10" s="5">
        <v>6126.51</v>
      </c>
      <c r="I10" s="4">
        <v>219</v>
      </c>
      <c r="J10" s="4">
        <v>128</v>
      </c>
      <c r="K10" s="4">
        <v>26</v>
      </c>
      <c r="L10" s="5">
        <v>73.29</v>
      </c>
      <c r="M10" s="5">
        <v>47.86</v>
      </c>
      <c r="N10" s="5">
        <v>42.84</v>
      </c>
      <c r="O10" s="5">
        <v>27.97</v>
      </c>
      <c r="P10" s="6">
        <v>0.8667</v>
      </c>
      <c r="Q10" s="6">
        <v>0</v>
      </c>
      <c r="R10" s="6">
        <v>1.0667</v>
      </c>
      <c r="S10" s="4">
        <v>1</v>
      </c>
      <c r="T10" s="5">
        <v>4437.6</v>
      </c>
      <c r="U10" s="5">
        <v>4296.12</v>
      </c>
      <c r="V10" s="5">
        <v>141.48</v>
      </c>
      <c r="W10" s="4">
        <v>119</v>
      </c>
      <c r="X10" s="5">
        <v>37.29</v>
      </c>
      <c r="Y10" s="5">
        <v>36.1</v>
      </c>
      <c r="Z10" s="5">
        <v>0</v>
      </c>
      <c r="AA10" s="5">
        <v>0</v>
      </c>
      <c r="AB10" s="5">
        <v>0</v>
      </c>
      <c r="AC10" s="4">
        <v>0</v>
      </c>
      <c r="AD10" s="5">
        <v>0</v>
      </c>
      <c r="AE10" s="5">
        <v>0</v>
      </c>
      <c r="AF10" s="5">
        <v>1871.7</v>
      </c>
      <c r="AG10" s="5">
        <v>874.4</v>
      </c>
      <c r="AH10" s="5">
        <v>997.3</v>
      </c>
      <c r="AI10" s="4">
        <v>33</v>
      </c>
      <c r="AJ10" s="5">
        <v>56.72</v>
      </c>
      <c r="AK10" s="5">
        <v>26.5</v>
      </c>
      <c r="AL10" s="5">
        <v>3072.4</v>
      </c>
      <c r="AM10" s="5">
        <v>955.99</v>
      </c>
      <c r="AN10" s="5">
        <v>2116.41</v>
      </c>
      <c r="AO10" s="4">
        <v>67</v>
      </c>
      <c r="AP10" s="5">
        <v>45.86</v>
      </c>
      <c r="AQ10" s="5">
        <v>14.27</v>
      </c>
      <c r="AR10" s="5">
        <v>0</v>
      </c>
      <c r="AS10" s="5">
        <v>0</v>
      </c>
      <c r="AT10" s="5">
        <v>0</v>
      </c>
      <c r="AU10" s="4">
        <v>0</v>
      </c>
      <c r="AV10" s="5">
        <v>0</v>
      </c>
      <c r="AW10" s="5">
        <v>0</v>
      </c>
      <c r="AX10" s="5">
        <v>9326.7</v>
      </c>
      <c r="AY10" s="5">
        <v>6104.06</v>
      </c>
      <c r="AZ10" s="5">
        <v>3222.64</v>
      </c>
      <c r="BA10" s="4">
        <v>442</v>
      </c>
      <c r="BB10" s="5">
        <v>55</v>
      </c>
      <c r="BC10" s="5">
        <v>22.45</v>
      </c>
      <c r="BD10" s="5">
        <v>32.55</v>
      </c>
      <c r="BE10" s="4">
        <v>39</v>
      </c>
      <c r="BF10" s="5">
        <v>256</v>
      </c>
      <c r="BG10" s="5">
        <v>3543.2</v>
      </c>
      <c r="BH10" s="5">
        <v>35.62</v>
      </c>
      <c r="BI10" s="5">
        <v>141.2</v>
      </c>
      <c r="BJ10" s="5">
        <v>320.1</v>
      </c>
      <c r="BK10" s="5">
        <v>0</v>
      </c>
      <c r="BL10" s="5">
        <v>1830.39</v>
      </c>
      <c r="BM10" s="5">
        <v>6126.51</v>
      </c>
      <c r="BN10" s="5">
        <v>2.38</v>
      </c>
      <c r="BO10" s="5">
        <v>0</v>
      </c>
      <c r="BP10" s="5">
        <v>67.2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6.1</v>
      </c>
      <c r="CE10" s="5">
        <v>36</v>
      </c>
      <c r="CF10" s="5">
        <v>0</v>
      </c>
      <c r="CG10" s="5">
        <v>0</v>
      </c>
      <c r="CH10" s="5">
        <v>0</v>
      </c>
      <c r="CI10" s="5">
        <v>0</v>
      </c>
      <c r="CJ10" s="5">
        <v>5</v>
      </c>
      <c r="CK10" s="5">
        <v>0</v>
      </c>
      <c r="CL10" s="5">
        <v>4</v>
      </c>
      <c r="CM10" s="5">
        <v>0</v>
      </c>
      <c r="CN10" s="5">
        <v>6.2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997.3</v>
      </c>
      <c r="CU10" s="5">
        <v>2116.41</v>
      </c>
      <c r="CV10" s="5">
        <v>0</v>
      </c>
      <c r="CW10" s="5">
        <v>3240.59</v>
      </c>
      <c r="CX10" s="5">
        <v>0</v>
      </c>
      <c r="CY10" s="5">
        <v>0</v>
      </c>
      <c r="CZ10" s="5">
        <v>14.6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14.6</v>
      </c>
    </row>
    <row r="11" s="1" customFormat="1" spans="1:114">
      <c r="A11" s="3" t="s">
        <v>138</v>
      </c>
      <c r="B11" s="3" t="s">
        <v>9</v>
      </c>
      <c r="C11" s="3" t="s">
        <v>133</v>
      </c>
      <c r="D11" s="3" t="s">
        <v>143</v>
      </c>
      <c r="E11" s="4">
        <v>1</v>
      </c>
      <c r="F11" s="5">
        <v>8178.26</v>
      </c>
      <c r="G11" s="5">
        <v>3044.59</v>
      </c>
      <c r="H11" s="5">
        <v>5133.67</v>
      </c>
      <c r="I11" s="4">
        <v>166</v>
      </c>
      <c r="J11" s="4">
        <v>72</v>
      </c>
      <c r="K11" s="4">
        <v>32</v>
      </c>
      <c r="L11" s="5">
        <v>113.59</v>
      </c>
      <c r="M11" s="5">
        <v>71.3</v>
      </c>
      <c r="N11" s="5">
        <v>49.27</v>
      </c>
      <c r="O11" s="5">
        <v>30.93</v>
      </c>
      <c r="P11" s="6">
        <v>2.2857</v>
      </c>
      <c r="Q11" s="6">
        <v>1.2857</v>
      </c>
      <c r="R11" s="6">
        <v>1.2857</v>
      </c>
      <c r="S11" s="4">
        <v>2</v>
      </c>
      <c r="T11" s="5">
        <v>2795.68</v>
      </c>
      <c r="U11" s="5">
        <v>2398.12</v>
      </c>
      <c r="V11" s="5">
        <v>397.56</v>
      </c>
      <c r="W11" s="4">
        <v>66</v>
      </c>
      <c r="X11" s="5">
        <v>42.36</v>
      </c>
      <c r="Y11" s="5">
        <v>36.34</v>
      </c>
      <c r="Z11" s="5">
        <v>47</v>
      </c>
      <c r="AA11" s="5">
        <v>47</v>
      </c>
      <c r="AB11" s="5">
        <v>0</v>
      </c>
      <c r="AC11" s="4">
        <v>2</v>
      </c>
      <c r="AD11" s="5">
        <v>23.5</v>
      </c>
      <c r="AE11" s="5">
        <v>23.5</v>
      </c>
      <c r="AF11" s="5">
        <v>3110.58</v>
      </c>
      <c r="AG11" s="5">
        <v>1633.27</v>
      </c>
      <c r="AH11" s="5">
        <v>1477.31</v>
      </c>
      <c r="AI11" s="4">
        <v>56</v>
      </c>
      <c r="AJ11" s="5">
        <v>55.55</v>
      </c>
      <c r="AK11" s="5">
        <v>29.17</v>
      </c>
      <c r="AL11" s="5">
        <v>2058.8</v>
      </c>
      <c r="AM11" s="5">
        <v>951.08</v>
      </c>
      <c r="AN11" s="5">
        <v>1107.72</v>
      </c>
      <c r="AO11" s="4">
        <v>38</v>
      </c>
      <c r="AP11" s="5">
        <v>54.18</v>
      </c>
      <c r="AQ11" s="5">
        <v>25.03</v>
      </c>
      <c r="AR11" s="5">
        <v>166.2</v>
      </c>
      <c r="AS11" s="5">
        <v>104.2</v>
      </c>
      <c r="AT11" s="5">
        <v>62</v>
      </c>
      <c r="AU11" s="4">
        <v>4</v>
      </c>
      <c r="AV11" s="5">
        <v>41.55</v>
      </c>
      <c r="AW11" s="5">
        <v>26.05</v>
      </c>
      <c r="AX11" s="5">
        <v>8085.66</v>
      </c>
      <c r="AY11" s="5">
        <v>5081.33</v>
      </c>
      <c r="AZ11" s="5">
        <v>3004.33</v>
      </c>
      <c r="BA11" s="7">
        <v>206.664</v>
      </c>
      <c r="BB11" s="5">
        <v>92.6</v>
      </c>
      <c r="BC11" s="5">
        <v>52.34</v>
      </c>
      <c r="BD11" s="5">
        <v>40.26</v>
      </c>
      <c r="BE11" s="4">
        <v>78</v>
      </c>
      <c r="BF11" s="5">
        <v>54</v>
      </c>
      <c r="BG11" s="5">
        <v>1659.2</v>
      </c>
      <c r="BH11" s="5">
        <v>0</v>
      </c>
      <c r="BI11" s="5">
        <v>519.32</v>
      </c>
      <c r="BJ11" s="5">
        <v>212.6</v>
      </c>
      <c r="BK11" s="5">
        <v>0</v>
      </c>
      <c r="BL11" s="5">
        <v>2688.55</v>
      </c>
      <c r="BM11" s="5">
        <v>5133.67</v>
      </c>
      <c r="BN11" s="5">
        <v>0</v>
      </c>
      <c r="BO11" s="5">
        <v>7</v>
      </c>
      <c r="BP11" s="5">
        <v>0</v>
      </c>
      <c r="BQ11" s="5">
        <v>0</v>
      </c>
      <c r="BR11" s="5">
        <v>15.2</v>
      </c>
      <c r="BS11" s="5">
        <v>0</v>
      </c>
      <c r="BT11" s="5">
        <v>0</v>
      </c>
      <c r="BU11" s="5">
        <v>88.2</v>
      </c>
      <c r="BV11" s="5">
        <v>0</v>
      </c>
      <c r="BW11" s="5">
        <v>6</v>
      </c>
      <c r="BX11" s="5">
        <v>0</v>
      </c>
      <c r="BY11" s="5">
        <v>16.68</v>
      </c>
      <c r="BZ11" s="5">
        <v>0</v>
      </c>
      <c r="CA11" s="5">
        <v>0</v>
      </c>
      <c r="CB11" s="5">
        <v>48</v>
      </c>
      <c r="CC11" s="5">
        <v>0</v>
      </c>
      <c r="CD11" s="5">
        <v>0</v>
      </c>
      <c r="CE11" s="5">
        <v>0</v>
      </c>
      <c r="CF11" s="5">
        <v>55.8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16.2</v>
      </c>
      <c r="CM11" s="5">
        <v>0</v>
      </c>
      <c r="CN11" s="5">
        <v>0</v>
      </c>
      <c r="CO11" s="5">
        <v>0</v>
      </c>
      <c r="CP11" s="5">
        <v>0</v>
      </c>
      <c r="CQ11" s="5">
        <v>47.4</v>
      </c>
      <c r="CR11" s="5">
        <v>45</v>
      </c>
      <c r="CS11" s="5">
        <v>0</v>
      </c>
      <c r="CT11" s="5">
        <v>1477.31</v>
      </c>
      <c r="CU11" s="5">
        <v>1107.72</v>
      </c>
      <c r="CV11" s="5">
        <v>62</v>
      </c>
      <c r="CW11" s="5">
        <v>2992.51</v>
      </c>
      <c r="CX11" s="5">
        <v>0</v>
      </c>
      <c r="CY11" s="5">
        <v>0</v>
      </c>
      <c r="CZ11" s="5">
        <v>0</v>
      </c>
      <c r="DA11" s="5">
        <v>0</v>
      </c>
      <c r="DB11" s="5">
        <v>24.2</v>
      </c>
      <c r="DC11" s="5">
        <v>0</v>
      </c>
      <c r="DD11" s="5">
        <v>0</v>
      </c>
      <c r="DE11" s="5">
        <v>0</v>
      </c>
      <c r="DF11" s="5">
        <v>21.6</v>
      </c>
      <c r="DG11" s="5">
        <v>0</v>
      </c>
      <c r="DH11" s="5">
        <v>5</v>
      </c>
      <c r="DI11" s="5">
        <v>1.28</v>
      </c>
      <c r="DJ11" s="5">
        <v>52.08</v>
      </c>
    </row>
    <row r="12" s="1" customFormat="1" spans="1:114">
      <c r="A12" s="3" t="s">
        <v>138</v>
      </c>
      <c r="B12" s="3" t="s">
        <v>10</v>
      </c>
      <c r="C12" s="3" t="s">
        <v>133</v>
      </c>
      <c r="D12" s="3" t="s">
        <v>144</v>
      </c>
      <c r="E12" s="4">
        <v>1</v>
      </c>
      <c r="F12" s="5">
        <v>3972</v>
      </c>
      <c r="G12" s="5">
        <v>409.57</v>
      </c>
      <c r="H12" s="5">
        <v>3562.43</v>
      </c>
      <c r="I12" s="4">
        <v>76</v>
      </c>
      <c r="J12" s="4">
        <v>94</v>
      </c>
      <c r="K12" s="4">
        <v>30</v>
      </c>
      <c r="L12" s="5">
        <v>42.26</v>
      </c>
      <c r="M12" s="5">
        <v>37.9</v>
      </c>
      <c r="N12" s="5">
        <v>52.26</v>
      </c>
      <c r="O12" s="5">
        <v>46.87</v>
      </c>
      <c r="P12" s="6">
        <v>1.3636</v>
      </c>
      <c r="Q12" s="6">
        <v>0.3636</v>
      </c>
      <c r="R12" s="6">
        <v>1.0682</v>
      </c>
      <c r="S12" s="4">
        <v>1</v>
      </c>
      <c r="T12" s="5">
        <v>3972</v>
      </c>
      <c r="U12" s="5">
        <v>3562.43</v>
      </c>
      <c r="V12" s="5">
        <v>409.57</v>
      </c>
      <c r="W12" s="4">
        <v>76</v>
      </c>
      <c r="X12" s="5">
        <v>52.26</v>
      </c>
      <c r="Y12" s="5">
        <v>46.87</v>
      </c>
      <c r="Z12" s="5">
        <v>0</v>
      </c>
      <c r="AA12" s="5">
        <v>0</v>
      </c>
      <c r="AB12" s="5">
        <v>0</v>
      </c>
      <c r="AC12" s="4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4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4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4">
        <v>0</v>
      </c>
      <c r="AV12" s="5">
        <v>0</v>
      </c>
      <c r="AW12" s="5">
        <v>0</v>
      </c>
      <c r="AX12" s="5">
        <v>3972</v>
      </c>
      <c r="AY12" s="5">
        <v>3562.43</v>
      </c>
      <c r="AZ12" s="5">
        <v>409.57</v>
      </c>
      <c r="BA12" s="4">
        <v>144</v>
      </c>
      <c r="BB12" s="5">
        <v>0</v>
      </c>
      <c r="BC12" s="5">
        <v>0</v>
      </c>
      <c r="BD12" s="5">
        <v>0</v>
      </c>
      <c r="BE12" s="4">
        <v>0</v>
      </c>
      <c r="BF12" s="5">
        <v>45</v>
      </c>
      <c r="BG12" s="5">
        <v>2990.28</v>
      </c>
      <c r="BH12" s="5">
        <v>147.77</v>
      </c>
      <c r="BI12" s="5">
        <v>254.58</v>
      </c>
      <c r="BJ12" s="5">
        <v>124.8</v>
      </c>
      <c r="BK12" s="5">
        <v>0</v>
      </c>
      <c r="BL12" s="5">
        <v>0</v>
      </c>
      <c r="BM12" s="5">
        <v>3562.43</v>
      </c>
      <c r="BN12" s="5">
        <v>8.63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125.4</v>
      </c>
      <c r="BV12" s="5">
        <v>0</v>
      </c>
      <c r="BW12" s="5">
        <v>75.6</v>
      </c>
      <c r="BX12" s="5">
        <v>0</v>
      </c>
      <c r="BY12" s="5">
        <v>25.02</v>
      </c>
      <c r="BZ12" s="5">
        <v>0</v>
      </c>
      <c r="CA12" s="5">
        <v>6.4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25.2</v>
      </c>
      <c r="CR12" s="5">
        <v>90</v>
      </c>
      <c r="CS12" s="5">
        <v>0</v>
      </c>
      <c r="CT12" s="5">
        <v>0</v>
      </c>
      <c r="CU12" s="5">
        <v>0</v>
      </c>
      <c r="CV12" s="5">
        <v>0</v>
      </c>
      <c r="CW12" s="5">
        <v>356.25</v>
      </c>
      <c r="CX12" s="5">
        <v>0</v>
      </c>
      <c r="CY12" s="5">
        <v>0</v>
      </c>
      <c r="CZ12" s="5">
        <v>0</v>
      </c>
      <c r="DA12" s="5">
        <v>15.72</v>
      </c>
      <c r="DB12" s="5">
        <v>0</v>
      </c>
      <c r="DC12" s="5">
        <v>0</v>
      </c>
      <c r="DD12" s="5">
        <v>0</v>
      </c>
      <c r="DE12" s="5">
        <v>0</v>
      </c>
      <c r="DF12" s="5">
        <v>37.6</v>
      </c>
      <c r="DG12" s="5">
        <v>0</v>
      </c>
      <c r="DH12" s="5">
        <v>0</v>
      </c>
      <c r="DI12" s="5">
        <v>0</v>
      </c>
      <c r="DJ12" s="5">
        <v>53.32</v>
      </c>
    </row>
    <row r="13" s="1" customFormat="1" spans="1:114">
      <c r="A13" s="3" t="s">
        <v>145</v>
      </c>
      <c r="B13" s="3" t="s">
        <v>11</v>
      </c>
      <c r="C13" s="3" t="s">
        <v>133</v>
      </c>
      <c r="D13" s="3" t="s">
        <v>146</v>
      </c>
      <c r="E13" s="4">
        <v>1</v>
      </c>
      <c r="F13" s="5">
        <v>6075.55</v>
      </c>
      <c r="G13" s="5">
        <v>2117.79</v>
      </c>
      <c r="H13" s="5">
        <v>3957.76</v>
      </c>
      <c r="I13" s="4">
        <v>164</v>
      </c>
      <c r="J13" s="4">
        <v>85</v>
      </c>
      <c r="K13" s="4">
        <v>40</v>
      </c>
      <c r="L13" s="5">
        <v>71.48</v>
      </c>
      <c r="M13" s="5">
        <v>46.56</v>
      </c>
      <c r="N13" s="5">
        <v>37.05</v>
      </c>
      <c r="O13" s="5">
        <v>24.13</v>
      </c>
      <c r="P13" s="6">
        <v>2.2222</v>
      </c>
      <c r="Q13" s="6">
        <v>1.2222</v>
      </c>
      <c r="R13" s="6">
        <v>0.5903</v>
      </c>
      <c r="S13" s="4">
        <v>1</v>
      </c>
      <c r="T13" s="5">
        <v>2313.2</v>
      </c>
      <c r="U13" s="5">
        <v>2236.42</v>
      </c>
      <c r="V13" s="5">
        <v>76.78</v>
      </c>
      <c r="W13" s="4">
        <v>69</v>
      </c>
      <c r="X13" s="5">
        <v>33.52</v>
      </c>
      <c r="Y13" s="5">
        <v>32.41</v>
      </c>
      <c r="Z13" s="5">
        <v>0</v>
      </c>
      <c r="AA13" s="5">
        <v>0</v>
      </c>
      <c r="AB13" s="5">
        <v>0</v>
      </c>
      <c r="AC13" s="4">
        <v>0</v>
      </c>
      <c r="AD13" s="5">
        <v>0</v>
      </c>
      <c r="AE13" s="5">
        <v>0</v>
      </c>
      <c r="AF13" s="5">
        <v>993.5</v>
      </c>
      <c r="AG13" s="5">
        <v>412.86</v>
      </c>
      <c r="AH13" s="5">
        <v>580.64</v>
      </c>
      <c r="AI13" s="4">
        <v>25</v>
      </c>
      <c r="AJ13" s="5">
        <v>39.74</v>
      </c>
      <c r="AK13" s="5">
        <v>16.51</v>
      </c>
      <c r="AL13" s="5">
        <v>1412.36</v>
      </c>
      <c r="AM13" s="5">
        <v>718.17</v>
      </c>
      <c r="AN13" s="5">
        <v>694.19</v>
      </c>
      <c r="AO13" s="4">
        <v>32</v>
      </c>
      <c r="AP13" s="5">
        <v>44.14</v>
      </c>
      <c r="AQ13" s="5">
        <v>22.44</v>
      </c>
      <c r="AR13" s="5">
        <v>1356.49</v>
      </c>
      <c r="AS13" s="5">
        <v>590.31</v>
      </c>
      <c r="AT13" s="5">
        <v>766.18</v>
      </c>
      <c r="AU13" s="4">
        <v>38</v>
      </c>
      <c r="AV13" s="5">
        <v>35.7</v>
      </c>
      <c r="AW13" s="5">
        <v>15.53</v>
      </c>
      <c r="AX13" s="5">
        <v>5919.05</v>
      </c>
      <c r="AY13" s="5">
        <v>3887.99</v>
      </c>
      <c r="AZ13" s="5">
        <v>2031.06</v>
      </c>
      <c r="BA13" s="4">
        <v>217</v>
      </c>
      <c r="BB13" s="5">
        <v>156.5</v>
      </c>
      <c r="BC13" s="5">
        <v>69.77</v>
      </c>
      <c r="BD13" s="5">
        <v>86.73</v>
      </c>
      <c r="BE13" s="4">
        <v>88</v>
      </c>
      <c r="BF13" s="5">
        <v>0</v>
      </c>
      <c r="BG13" s="5">
        <v>1809</v>
      </c>
      <c r="BH13" s="5">
        <v>21.91</v>
      </c>
      <c r="BI13" s="5">
        <v>23.8</v>
      </c>
      <c r="BJ13" s="5">
        <v>381.71</v>
      </c>
      <c r="BK13" s="5">
        <v>0</v>
      </c>
      <c r="BL13" s="5">
        <v>1721.34</v>
      </c>
      <c r="BM13" s="5">
        <v>3957.76</v>
      </c>
      <c r="BN13" s="5">
        <v>1.09</v>
      </c>
      <c r="BO13" s="5">
        <v>0</v>
      </c>
      <c r="BP13" s="5">
        <v>3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8.5</v>
      </c>
      <c r="CF13" s="5">
        <v>0</v>
      </c>
      <c r="CG13" s="5">
        <v>0</v>
      </c>
      <c r="CH13" s="5">
        <v>1</v>
      </c>
      <c r="CI13" s="5">
        <v>2.2</v>
      </c>
      <c r="CJ13" s="5">
        <v>24</v>
      </c>
      <c r="CK13" s="5">
        <v>0</v>
      </c>
      <c r="CL13" s="5">
        <v>3</v>
      </c>
      <c r="CM13" s="5">
        <v>0</v>
      </c>
      <c r="CN13" s="5">
        <v>0</v>
      </c>
      <c r="CO13" s="5">
        <v>5.99</v>
      </c>
      <c r="CP13" s="5">
        <v>28</v>
      </c>
      <c r="CQ13" s="5">
        <v>0</v>
      </c>
      <c r="CR13" s="5">
        <v>0</v>
      </c>
      <c r="CS13" s="5">
        <v>0</v>
      </c>
      <c r="CT13" s="5">
        <v>580.64</v>
      </c>
      <c r="CU13" s="5">
        <v>694.19</v>
      </c>
      <c r="CV13" s="5">
        <v>766.18</v>
      </c>
      <c r="CW13" s="5">
        <v>2117.79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</row>
    <row r="14" s="1" customFormat="1" spans="1:114">
      <c r="A14" s="3" t="s">
        <v>145</v>
      </c>
      <c r="B14" s="3" t="s">
        <v>12</v>
      </c>
      <c r="C14" s="3" t="s">
        <v>133</v>
      </c>
      <c r="D14" s="3" t="s">
        <v>147</v>
      </c>
      <c r="E14" s="4">
        <v>1</v>
      </c>
      <c r="F14" s="5">
        <v>7770.7</v>
      </c>
      <c r="G14" s="5">
        <v>2177.55</v>
      </c>
      <c r="H14" s="5">
        <v>5593.15</v>
      </c>
      <c r="I14" s="4">
        <v>189</v>
      </c>
      <c r="J14" s="4">
        <v>92</v>
      </c>
      <c r="K14" s="4">
        <v>19</v>
      </c>
      <c r="L14" s="5">
        <v>84.46</v>
      </c>
      <c r="M14" s="5">
        <v>60.8</v>
      </c>
      <c r="N14" s="5">
        <v>41.11</v>
      </c>
      <c r="O14" s="5">
        <v>29.59</v>
      </c>
      <c r="P14" s="6">
        <v>1.1875</v>
      </c>
      <c r="Q14" s="6">
        <v>0.1875</v>
      </c>
      <c r="R14" s="6">
        <v>1.4375</v>
      </c>
      <c r="S14" s="4">
        <v>1</v>
      </c>
      <c r="T14" s="5">
        <v>3718.5</v>
      </c>
      <c r="U14" s="5">
        <v>3609.9</v>
      </c>
      <c r="V14" s="5">
        <v>108.6</v>
      </c>
      <c r="W14" s="4">
        <v>87</v>
      </c>
      <c r="X14" s="5">
        <v>42.74</v>
      </c>
      <c r="Y14" s="5">
        <v>41.49</v>
      </c>
      <c r="Z14" s="5">
        <v>0</v>
      </c>
      <c r="AA14" s="5">
        <v>0</v>
      </c>
      <c r="AB14" s="5">
        <v>0</v>
      </c>
      <c r="AC14" s="4">
        <v>0</v>
      </c>
      <c r="AD14" s="5">
        <v>0</v>
      </c>
      <c r="AE14" s="5">
        <v>0</v>
      </c>
      <c r="AF14" s="5">
        <v>2315.6</v>
      </c>
      <c r="AG14" s="5">
        <v>1119.58</v>
      </c>
      <c r="AH14" s="5">
        <v>1196.02</v>
      </c>
      <c r="AI14" s="4">
        <v>57</v>
      </c>
      <c r="AJ14" s="5">
        <v>40.62</v>
      </c>
      <c r="AK14" s="5">
        <v>19.64</v>
      </c>
      <c r="AL14" s="5">
        <v>1675.6</v>
      </c>
      <c r="AM14" s="5">
        <v>820.67</v>
      </c>
      <c r="AN14" s="5">
        <v>854.93</v>
      </c>
      <c r="AO14" s="4">
        <v>44</v>
      </c>
      <c r="AP14" s="5">
        <v>38.08</v>
      </c>
      <c r="AQ14" s="5">
        <v>18.65</v>
      </c>
      <c r="AR14" s="5">
        <v>61</v>
      </c>
      <c r="AS14" s="5">
        <v>43</v>
      </c>
      <c r="AT14" s="5">
        <v>18</v>
      </c>
      <c r="AU14" s="4">
        <v>1</v>
      </c>
      <c r="AV14" s="5">
        <v>61</v>
      </c>
      <c r="AW14" s="5">
        <v>43</v>
      </c>
      <c r="AX14" s="5">
        <v>7682.4</v>
      </c>
      <c r="AY14" s="5">
        <v>5548.82</v>
      </c>
      <c r="AZ14" s="5">
        <v>2133.58</v>
      </c>
      <c r="BA14" s="4">
        <v>294</v>
      </c>
      <c r="BB14" s="5">
        <v>88.3</v>
      </c>
      <c r="BC14" s="5">
        <v>44.33</v>
      </c>
      <c r="BD14" s="5">
        <v>43.97</v>
      </c>
      <c r="BE14" s="4">
        <v>57</v>
      </c>
      <c r="BF14" s="5">
        <v>198</v>
      </c>
      <c r="BG14" s="5">
        <v>2644.5</v>
      </c>
      <c r="BH14" s="5">
        <v>0</v>
      </c>
      <c r="BI14" s="5">
        <v>168.8</v>
      </c>
      <c r="BJ14" s="5">
        <v>598.6</v>
      </c>
      <c r="BK14" s="5">
        <v>0</v>
      </c>
      <c r="BL14" s="5">
        <v>1983.25</v>
      </c>
      <c r="BM14" s="5">
        <v>5593.15</v>
      </c>
      <c r="BN14" s="5">
        <v>0</v>
      </c>
      <c r="BO14" s="5">
        <v>0</v>
      </c>
      <c r="BP14" s="5">
        <v>3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49</v>
      </c>
      <c r="CF14" s="5">
        <v>0</v>
      </c>
      <c r="CG14" s="5">
        <v>11</v>
      </c>
      <c r="CH14" s="5">
        <v>0</v>
      </c>
      <c r="CI14" s="5">
        <v>0</v>
      </c>
      <c r="CJ14" s="5">
        <v>22</v>
      </c>
      <c r="CK14" s="5">
        <v>0</v>
      </c>
      <c r="CL14" s="5">
        <v>16</v>
      </c>
      <c r="CM14" s="5">
        <v>0</v>
      </c>
      <c r="CN14" s="5">
        <v>5.2</v>
      </c>
      <c r="CO14" s="5">
        <v>2.4</v>
      </c>
      <c r="CP14" s="5">
        <v>0</v>
      </c>
      <c r="CQ14" s="5">
        <v>0</v>
      </c>
      <c r="CR14" s="5">
        <v>0</v>
      </c>
      <c r="CS14" s="5">
        <v>0</v>
      </c>
      <c r="CT14" s="5">
        <v>1196.02</v>
      </c>
      <c r="CU14" s="5">
        <v>854.93</v>
      </c>
      <c r="CV14" s="5">
        <v>18</v>
      </c>
      <c r="CW14" s="5">
        <v>2177.55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</row>
    <row r="15" s="1" customFormat="1" spans="1:114">
      <c r="A15" s="3" t="s">
        <v>138</v>
      </c>
      <c r="B15" s="3" t="s">
        <v>148</v>
      </c>
      <c r="C15" s="3" t="s">
        <v>133</v>
      </c>
      <c r="D15" s="3" t="s">
        <v>149</v>
      </c>
      <c r="E15" s="4">
        <v>1</v>
      </c>
      <c r="F15" s="5">
        <v>9258.4</v>
      </c>
      <c r="G15" s="5">
        <v>1160.08</v>
      </c>
      <c r="H15" s="5">
        <v>8098.32</v>
      </c>
      <c r="I15" s="4">
        <v>176</v>
      </c>
      <c r="J15" s="4">
        <v>228</v>
      </c>
      <c r="K15" s="4">
        <v>90</v>
      </c>
      <c r="L15" s="5">
        <v>40.61</v>
      </c>
      <c r="M15" s="5">
        <v>35.52</v>
      </c>
      <c r="N15" s="5">
        <v>52.6</v>
      </c>
      <c r="O15" s="5">
        <v>46.01</v>
      </c>
      <c r="P15" s="6">
        <v>5</v>
      </c>
      <c r="Q15" s="6">
        <v>4</v>
      </c>
      <c r="R15" s="6">
        <v>4.0714</v>
      </c>
      <c r="S15" s="4">
        <v>1</v>
      </c>
      <c r="T15" s="5">
        <v>9258.4</v>
      </c>
      <c r="U15" s="5">
        <v>8098.32</v>
      </c>
      <c r="V15" s="5">
        <v>1160.08</v>
      </c>
      <c r="W15" s="4">
        <v>176</v>
      </c>
      <c r="X15" s="5">
        <v>52.6</v>
      </c>
      <c r="Y15" s="5">
        <v>46.01</v>
      </c>
      <c r="Z15" s="5">
        <v>0</v>
      </c>
      <c r="AA15" s="5">
        <v>0</v>
      </c>
      <c r="AB15" s="5">
        <v>0</v>
      </c>
      <c r="AC15" s="4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4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4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4">
        <v>0</v>
      </c>
      <c r="AV15" s="5">
        <v>0</v>
      </c>
      <c r="AW15" s="5">
        <v>0</v>
      </c>
      <c r="AX15" s="5">
        <v>9258.4</v>
      </c>
      <c r="AY15" s="5">
        <v>8098.32</v>
      </c>
      <c r="AZ15" s="5">
        <v>1160.08</v>
      </c>
      <c r="BA15" s="4">
        <v>294</v>
      </c>
      <c r="BB15" s="5">
        <v>0</v>
      </c>
      <c r="BC15" s="5">
        <v>0</v>
      </c>
      <c r="BD15" s="5">
        <v>0</v>
      </c>
      <c r="BE15" s="4">
        <v>0</v>
      </c>
      <c r="BF15" s="5">
        <v>130.24</v>
      </c>
      <c r="BG15" s="5">
        <v>7638.34</v>
      </c>
      <c r="BH15" s="5">
        <v>329.74</v>
      </c>
      <c r="BI15" s="5">
        <v>0</v>
      </c>
      <c r="BJ15" s="5">
        <v>0</v>
      </c>
      <c r="BK15" s="5">
        <v>0</v>
      </c>
      <c r="BL15" s="5">
        <v>0</v>
      </c>
      <c r="BM15" s="5">
        <v>8098.32</v>
      </c>
      <c r="BN15" s="5">
        <v>16.9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16.9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1049.58</v>
      </c>
      <c r="DF15" s="5">
        <v>93.6</v>
      </c>
      <c r="DG15" s="5">
        <v>0</v>
      </c>
      <c r="DH15" s="5">
        <v>0</v>
      </c>
      <c r="DI15" s="5">
        <v>0</v>
      </c>
      <c r="DJ15" s="5">
        <v>1143.18</v>
      </c>
    </row>
    <row r="16" s="1" customFormat="1" spans="1:114">
      <c r="A16" s="3" t="s">
        <v>138</v>
      </c>
      <c r="B16" s="3" t="s">
        <v>14</v>
      </c>
      <c r="C16" s="3" t="s">
        <v>133</v>
      </c>
      <c r="D16" s="3" t="s">
        <v>150</v>
      </c>
      <c r="E16" s="4">
        <v>1</v>
      </c>
      <c r="F16" s="5">
        <v>8533.79</v>
      </c>
      <c r="G16" s="5">
        <v>2914.44</v>
      </c>
      <c r="H16" s="5">
        <v>5619.35</v>
      </c>
      <c r="I16" s="4">
        <v>157</v>
      </c>
      <c r="J16" s="4">
        <v>72</v>
      </c>
      <c r="K16" s="4">
        <v>13</v>
      </c>
      <c r="L16" s="5">
        <v>118.52</v>
      </c>
      <c r="M16" s="5">
        <v>78.05</v>
      </c>
      <c r="N16" s="5">
        <v>54.36</v>
      </c>
      <c r="O16" s="5">
        <v>35.79</v>
      </c>
      <c r="P16" s="6">
        <v>0.8667</v>
      </c>
      <c r="Q16" s="6">
        <v>0</v>
      </c>
      <c r="R16" s="6">
        <v>1.2</v>
      </c>
      <c r="S16" s="4">
        <v>1</v>
      </c>
      <c r="T16" s="5">
        <v>3466.2</v>
      </c>
      <c r="U16" s="5">
        <v>3158.41</v>
      </c>
      <c r="V16" s="5">
        <v>307.79</v>
      </c>
      <c r="W16" s="4">
        <v>67</v>
      </c>
      <c r="X16" s="5">
        <v>51.73</v>
      </c>
      <c r="Y16" s="5">
        <v>47.14</v>
      </c>
      <c r="Z16" s="5">
        <v>96</v>
      </c>
      <c r="AA16" s="5">
        <v>88.8</v>
      </c>
      <c r="AB16" s="5">
        <v>7.2</v>
      </c>
      <c r="AC16" s="4">
        <v>1</v>
      </c>
      <c r="AD16" s="5">
        <v>96</v>
      </c>
      <c r="AE16" s="5">
        <v>88.8</v>
      </c>
      <c r="AF16" s="5">
        <v>3810.3</v>
      </c>
      <c r="AG16" s="5">
        <v>1774.7</v>
      </c>
      <c r="AH16" s="5">
        <v>2035.6</v>
      </c>
      <c r="AI16" s="4">
        <v>67</v>
      </c>
      <c r="AJ16" s="5">
        <v>56.87</v>
      </c>
      <c r="AK16" s="5">
        <v>26.49</v>
      </c>
      <c r="AL16" s="5">
        <v>1161.29</v>
      </c>
      <c r="AM16" s="5">
        <v>597.44</v>
      </c>
      <c r="AN16" s="5">
        <v>563.85</v>
      </c>
      <c r="AO16" s="4">
        <v>22</v>
      </c>
      <c r="AP16" s="5">
        <v>52.79</v>
      </c>
      <c r="AQ16" s="5">
        <v>27.16</v>
      </c>
      <c r="AR16" s="5">
        <v>0</v>
      </c>
      <c r="AS16" s="5">
        <v>0</v>
      </c>
      <c r="AT16" s="5">
        <v>0</v>
      </c>
      <c r="AU16" s="4">
        <v>0</v>
      </c>
      <c r="AV16" s="5">
        <v>0</v>
      </c>
      <c r="AW16" s="5">
        <v>0</v>
      </c>
      <c r="AX16" s="5">
        <v>8434.89</v>
      </c>
      <c r="AY16" s="5">
        <v>5571.05</v>
      </c>
      <c r="AZ16" s="5">
        <v>2863.84</v>
      </c>
      <c r="BA16" s="7">
        <v>237.48</v>
      </c>
      <c r="BB16" s="5">
        <v>98.9</v>
      </c>
      <c r="BC16" s="5">
        <v>48.3</v>
      </c>
      <c r="BD16" s="5">
        <v>50.6</v>
      </c>
      <c r="BE16" s="4">
        <v>78</v>
      </c>
      <c r="BF16" s="5">
        <v>113</v>
      </c>
      <c r="BG16" s="5">
        <v>2380</v>
      </c>
      <c r="BH16" s="5">
        <v>65.73</v>
      </c>
      <c r="BI16" s="5">
        <v>376.84</v>
      </c>
      <c r="BJ16" s="5">
        <v>298.64</v>
      </c>
      <c r="BK16" s="5">
        <v>13</v>
      </c>
      <c r="BL16" s="5">
        <v>2372.14</v>
      </c>
      <c r="BM16" s="5">
        <v>5619.35</v>
      </c>
      <c r="BN16" s="5">
        <v>3.27</v>
      </c>
      <c r="BO16" s="5">
        <v>21</v>
      </c>
      <c r="BP16" s="5">
        <v>0</v>
      </c>
      <c r="BQ16" s="5">
        <v>0</v>
      </c>
      <c r="BR16" s="5">
        <v>15.2</v>
      </c>
      <c r="BS16" s="5">
        <v>0</v>
      </c>
      <c r="BT16" s="5">
        <v>0</v>
      </c>
      <c r="BU16" s="5">
        <v>29.4</v>
      </c>
      <c r="BV16" s="5">
        <v>0</v>
      </c>
      <c r="BW16" s="5">
        <v>0</v>
      </c>
      <c r="BX16" s="5">
        <v>0</v>
      </c>
      <c r="BY16" s="5">
        <v>33.36</v>
      </c>
      <c r="BZ16" s="5">
        <v>0</v>
      </c>
      <c r="CA16" s="5">
        <v>3.2</v>
      </c>
      <c r="CB16" s="5">
        <v>0</v>
      </c>
      <c r="CC16" s="5">
        <v>9</v>
      </c>
      <c r="CD16" s="5">
        <v>0</v>
      </c>
      <c r="CE16" s="5">
        <v>0</v>
      </c>
      <c r="CF16" s="5">
        <v>31.4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15.2</v>
      </c>
      <c r="CM16" s="5">
        <v>0</v>
      </c>
      <c r="CN16" s="5">
        <v>0</v>
      </c>
      <c r="CO16" s="5">
        <v>31.96</v>
      </c>
      <c r="CP16" s="5">
        <v>0</v>
      </c>
      <c r="CQ16" s="5">
        <v>69.6</v>
      </c>
      <c r="CR16" s="5">
        <v>42</v>
      </c>
      <c r="CS16" s="5">
        <v>3.2</v>
      </c>
      <c r="CT16" s="5">
        <v>2035.6</v>
      </c>
      <c r="CU16" s="5">
        <v>563.85</v>
      </c>
      <c r="CV16" s="5">
        <v>0</v>
      </c>
      <c r="CW16" s="5">
        <v>2907.24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7.2</v>
      </c>
      <c r="DG16" s="5">
        <v>0</v>
      </c>
      <c r="DH16" s="5">
        <v>0</v>
      </c>
      <c r="DI16" s="5">
        <v>0</v>
      </c>
      <c r="DJ16" s="5">
        <v>7.2</v>
      </c>
    </row>
    <row r="17" s="1" customFormat="1" spans="1:114">
      <c r="A17" s="3" t="s">
        <v>132</v>
      </c>
      <c r="B17" s="3" t="s">
        <v>15</v>
      </c>
      <c r="C17" s="3" t="s">
        <v>133</v>
      </c>
      <c r="D17" s="3" t="s">
        <v>151</v>
      </c>
      <c r="E17" s="4">
        <v>1</v>
      </c>
      <c r="F17" s="5">
        <v>3644.8</v>
      </c>
      <c r="G17" s="5">
        <v>1014.43</v>
      </c>
      <c r="H17" s="5">
        <v>2630.37</v>
      </c>
      <c r="I17" s="4">
        <v>91</v>
      </c>
      <c r="J17" s="4">
        <v>48</v>
      </c>
      <c r="K17" s="4">
        <v>5</v>
      </c>
      <c r="L17" s="5">
        <v>75.93</v>
      </c>
      <c r="M17" s="5">
        <v>54.8</v>
      </c>
      <c r="N17" s="5">
        <v>40.05</v>
      </c>
      <c r="O17" s="5">
        <v>28.91</v>
      </c>
      <c r="P17" s="6">
        <v>0.2174</v>
      </c>
      <c r="Q17" s="6">
        <v>0</v>
      </c>
      <c r="R17" s="6">
        <v>0.5217</v>
      </c>
      <c r="S17" s="4">
        <v>1</v>
      </c>
      <c r="T17" s="5">
        <v>1695.6</v>
      </c>
      <c r="U17" s="5">
        <v>1663.8</v>
      </c>
      <c r="V17" s="5">
        <v>31.8</v>
      </c>
      <c r="W17" s="4">
        <v>47</v>
      </c>
      <c r="X17" s="5">
        <v>36.08</v>
      </c>
      <c r="Y17" s="5">
        <v>35.4</v>
      </c>
      <c r="Z17" s="5">
        <v>0</v>
      </c>
      <c r="AA17" s="5">
        <v>0</v>
      </c>
      <c r="AB17" s="5">
        <v>0</v>
      </c>
      <c r="AC17" s="4">
        <v>0</v>
      </c>
      <c r="AD17" s="5">
        <v>0</v>
      </c>
      <c r="AE17" s="5">
        <v>0</v>
      </c>
      <c r="AF17" s="5">
        <v>686.9</v>
      </c>
      <c r="AG17" s="5">
        <v>387.33</v>
      </c>
      <c r="AH17" s="5">
        <v>299.57</v>
      </c>
      <c r="AI17" s="4">
        <v>11</v>
      </c>
      <c r="AJ17" s="5">
        <v>62.45</v>
      </c>
      <c r="AK17" s="5">
        <v>35.21</v>
      </c>
      <c r="AL17" s="5">
        <v>634.9</v>
      </c>
      <c r="AM17" s="5">
        <v>284.45</v>
      </c>
      <c r="AN17" s="5">
        <v>350.45</v>
      </c>
      <c r="AO17" s="4">
        <v>17</v>
      </c>
      <c r="AP17" s="5">
        <v>37.35</v>
      </c>
      <c r="AQ17" s="5">
        <v>16.73</v>
      </c>
      <c r="AR17" s="5">
        <v>627.4</v>
      </c>
      <c r="AS17" s="5">
        <v>294.79</v>
      </c>
      <c r="AT17" s="5">
        <v>332.61</v>
      </c>
      <c r="AU17" s="4">
        <v>16</v>
      </c>
      <c r="AV17" s="5">
        <v>39.21</v>
      </c>
      <c r="AW17" s="5">
        <v>18.42</v>
      </c>
      <c r="AX17" s="5">
        <v>3588</v>
      </c>
      <c r="AY17" s="5">
        <v>2602.58</v>
      </c>
      <c r="AZ17" s="5">
        <v>985.42</v>
      </c>
      <c r="BA17" s="4">
        <v>123</v>
      </c>
      <c r="BB17" s="5">
        <v>56.8</v>
      </c>
      <c r="BC17" s="5">
        <v>27.79</v>
      </c>
      <c r="BD17" s="5">
        <v>29.01</v>
      </c>
      <c r="BE17" s="4">
        <v>34</v>
      </c>
      <c r="BF17" s="5">
        <v>174</v>
      </c>
      <c r="BG17" s="5">
        <v>1249.6</v>
      </c>
      <c r="BH17" s="5">
        <v>0</v>
      </c>
      <c r="BI17" s="5">
        <v>23.8</v>
      </c>
      <c r="BJ17" s="5">
        <v>216.4</v>
      </c>
      <c r="BK17" s="5">
        <v>0</v>
      </c>
      <c r="BL17" s="5">
        <v>966.57</v>
      </c>
      <c r="BM17" s="5">
        <v>2630.37</v>
      </c>
      <c r="BN17" s="5">
        <v>0</v>
      </c>
      <c r="BO17" s="5">
        <v>0</v>
      </c>
      <c r="BP17" s="5">
        <v>3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16</v>
      </c>
      <c r="CF17" s="5">
        <v>0</v>
      </c>
      <c r="CG17" s="5">
        <v>0</v>
      </c>
      <c r="CH17" s="5">
        <v>0</v>
      </c>
      <c r="CI17" s="5">
        <v>0</v>
      </c>
      <c r="CJ17" s="5">
        <v>4</v>
      </c>
      <c r="CK17" s="5">
        <v>0</v>
      </c>
      <c r="CL17" s="5">
        <v>4</v>
      </c>
      <c r="CM17" s="5">
        <v>0</v>
      </c>
      <c r="CN17" s="5">
        <v>0</v>
      </c>
      <c r="CO17" s="5">
        <v>0</v>
      </c>
      <c r="CP17" s="5">
        <v>4.8</v>
      </c>
      <c r="CQ17" s="5">
        <v>0</v>
      </c>
      <c r="CR17" s="5">
        <v>0</v>
      </c>
      <c r="CS17" s="5">
        <v>0</v>
      </c>
      <c r="CT17" s="5">
        <v>299.57</v>
      </c>
      <c r="CU17" s="5">
        <v>350.45</v>
      </c>
      <c r="CV17" s="5">
        <v>332.61</v>
      </c>
      <c r="CW17" s="5">
        <v>1014.43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</row>
    <row r="18" s="1" customFormat="1" spans="1:114">
      <c r="A18" s="3" t="s">
        <v>132</v>
      </c>
      <c r="B18" s="3" t="s">
        <v>16</v>
      </c>
      <c r="C18" s="3" t="s">
        <v>133</v>
      </c>
      <c r="D18" s="3" t="s">
        <v>152</v>
      </c>
      <c r="E18" s="4">
        <v>1</v>
      </c>
      <c r="F18" s="5">
        <v>7727.74</v>
      </c>
      <c r="G18" s="5">
        <v>2575.18</v>
      </c>
      <c r="H18" s="5">
        <v>5152.56</v>
      </c>
      <c r="I18" s="4">
        <v>201</v>
      </c>
      <c r="J18" s="4">
        <v>105</v>
      </c>
      <c r="K18" s="4">
        <v>25</v>
      </c>
      <c r="L18" s="5">
        <v>73.6</v>
      </c>
      <c r="M18" s="5">
        <v>49.07</v>
      </c>
      <c r="N18" s="5">
        <v>38.45</v>
      </c>
      <c r="O18" s="5">
        <v>25.63</v>
      </c>
      <c r="P18" s="6">
        <v>0.9615</v>
      </c>
      <c r="Q18" s="6">
        <v>0</v>
      </c>
      <c r="R18" s="6">
        <v>1.0096</v>
      </c>
      <c r="S18" s="4">
        <v>2</v>
      </c>
      <c r="T18" s="5">
        <v>3235.46</v>
      </c>
      <c r="U18" s="5">
        <v>3125.98</v>
      </c>
      <c r="V18" s="5">
        <v>109.48</v>
      </c>
      <c r="W18" s="4">
        <v>92</v>
      </c>
      <c r="X18" s="5">
        <v>35.17</v>
      </c>
      <c r="Y18" s="5">
        <v>33.98</v>
      </c>
      <c r="Z18" s="5">
        <v>0</v>
      </c>
      <c r="AA18" s="5">
        <v>0</v>
      </c>
      <c r="AB18" s="5">
        <v>0</v>
      </c>
      <c r="AC18" s="4">
        <v>0</v>
      </c>
      <c r="AD18" s="5">
        <v>0</v>
      </c>
      <c r="AE18" s="5">
        <v>0</v>
      </c>
      <c r="AF18" s="5">
        <v>1782.98</v>
      </c>
      <c r="AG18" s="5">
        <v>812.55</v>
      </c>
      <c r="AH18" s="5">
        <v>970.43</v>
      </c>
      <c r="AI18" s="4">
        <v>34</v>
      </c>
      <c r="AJ18" s="5">
        <v>52.44</v>
      </c>
      <c r="AK18" s="5">
        <v>23.9</v>
      </c>
      <c r="AL18" s="5">
        <v>2518.2</v>
      </c>
      <c r="AM18" s="5">
        <v>1119.62</v>
      </c>
      <c r="AN18" s="5">
        <v>1398.58</v>
      </c>
      <c r="AO18" s="4">
        <v>70</v>
      </c>
      <c r="AP18" s="5">
        <v>35.97</v>
      </c>
      <c r="AQ18" s="5">
        <v>15.99</v>
      </c>
      <c r="AR18" s="5">
        <v>191.1</v>
      </c>
      <c r="AS18" s="5">
        <v>94.41</v>
      </c>
      <c r="AT18" s="5">
        <v>96.69</v>
      </c>
      <c r="AU18" s="4">
        <v>5</v>
      </c>
      <c r="AV18" s="5">
        <v>38.22</v>
      </c>
      <c r="AW18" s="5">
        <v>18.88</v>
      </c>
      <c r="AX18" s="5">
        <v>7592.74</v>
      </c>
      <c r="AY18" s="5">
        <v>5090.92</v>
      </c>
      <c r="AZ18" s="5">
        <v>2501.82</v>
      </c>
      <c r="BA18" s="7">
        <v>310.735</v>
      </c>
      <c r="BB18" s="5">
        <v>135</v>
      </c>
      <c r="BC18" s="5">
        <v>61.64</v>
      </c>
      <c r="BD18" s="5">
        <v>73.36</v>
      </c>
      <c r="BE18" s="4">
        <v>105</v>
      </c>
      <c r="BF18" s="5">
        <v>28</v>
      </c>
      <c r="BG18" s="5">
        <v>1734.26</v>
      </c>
      <c r="BH18" s="5">
        <v>0</v>
      </c>
      <c r="BI18" s="5">
        <v>260.4</v>
      </c>
      <c r="BJ18" s="5">
        <v>445.32</v>
      </c>
      <c r="BK18" s="5">
        <v>658</v>
      </c>
      <c r="BL18" s="5">
        <v>2026.58</v>
      </c>
      <c r="BM18" s="5">
        <v>5152.56</v>
      </c>
      <c r="BN18" s="5">
        <v>0</v>
      </c>
      <c r="BO18" s="5">
        <v>0</v>
      </c>
      <c r="BP18" s="5">
        <v>3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14</v>
      </c>
      <c r="CA18" s="5">
        <v>0</v>
      </c>
      <c r="CB18" s="5">
        <v>0</v>
      </c>
      <c r="CC18" s="5">
        <v>0</v>
      </c>
      <c r="CD18" s="5">
        <v>0</v>
      </c>
      <c r="CE18" s="5">
        <v>38.5</v>
      </c>
      <c r="CF18" s="5">
        <v>0</v>
      </c>
      <c r="CG18" s="5">
        <v>0</v>
      </c>
      <c r="CH18" s="5">
        <v>0</v>
      </c>
      <c r="CI18" s="5">
        <v>0</v>
      </c>
      <c r="CJ18" s="5">
        <v>20</v>
      </c>
      <c r="CK18" s="5">
        <v>0</v>
      </c>
      <c r="CL18" s="5">
        <v>0</v>
      </c>
      <c r="CM18" s="5">
        <v>10</v>
      </c>
      <c r="CN18" s="5">
        <v>0</v>
      </c>
      <c r="CO18" s="5">
        <v>9.98</v>
      </c>
      <c r="CP18" s="5">
        <v>14</v>
      </c>
      <c r="CQ18" s="5">
        <v>0</v>
      </c>
      <c r="CR18" s="5">
        <v>0</v>
      </c>
      <c r="CS18" s="5">
        <v>0</v>
      </c>
      <c r="CT18" s="5">
        <v>970.43</v>
      </c>
      <c r="CU18" s="5">
        <v>1398.58</v>
      </c>
      <c r="CV18" s="5">
        <v>96.69</v>
      </c>
      <c r="CW18" s="5">
        <v>2575.18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</row>
    <row r="19" s="1" customFormat="1" spans="1:114">
      <c r="A19" s="3" t="s">
        <v>132</v>
      </c>
      <c r="B19" s="3" t="s">
        <v>17</v>
      </c>
      <c r="C19" s="3" t="s">
        <v>133</v>
      </c>
      <c r="D19" s="3" t="s">
        <v>153</v>
      </c>
      <c r="E19" s="4">
        <v>1</v>
      </c>
      <c r="F19" s="5">
        <v>4560.3</v>
      </c>
      <c r="G19" s="5">
        <v>1785.21</v>
      </c>
      <c r="H19" s="5">
        <v>2775.09</v>
      </c>
      <c r="I19" s="4">
        <v>120</v>
      </c>
      <c r="J19" s="4">
        <v>46</v>
      </c>
      <c r="K19" s="4">
        <v>6</v>
      </c>
      <c r="L19" s="5">
        <v>99.14</v>
      </c>
      <c r="M19" s="5">
        <v>60.33</v>
      </c>
      <c r="N19" s="5">
        <v>38</v>
      </c>
      <c r="O19" s="5">
        <v>23.13</v>
      </c>
      <c r="P19" s="6">
        <v>0.24</v>
      </c>
      <c r="Q19" s="6">
        <v>0</v>
      </c>
      <c r="R19" s="6">
        <v>0.46</v>
      </c>
      <c r="S19" s="4">
        <v>1</v>
      </c>
      <c r="T19" s="5">
        <v>1388.8</v>
      </c>
      <c r="U19" s="5">
        <v>1320.95</v>
      </c>
      <c r="V19" s="5">
        <v>67.85</v>
      </c>
      <c r="W19" s="4">
        <v>45</v>
      </c>
      <c r="X19" s="5">
        <v>30.86</v>
      </c>
      <c r="Y19" s="5">
        <v>29.35</v>
      </c>
      <c r="Z19" s="5">
        <v>0</v>
      </c>
      <c r="AA19" s="5">
        <v>0</v>
      </c>
      <c r="AB19" s="5">
        <v>0</v>
      </c>
      <c r="AC19" s="4">
        <v>0</v>
      </c>
      <c r="AD19" s="5">
        <v>0</v>
      </c>
      <c r="AE19" s="5">
        <v>0</v>
      </c>
      <c r="AF19" s="5">
        <v>1585.2</v>
      </c>
      <c r="AG19" s="5">
        <v>812.54</v>
      </c>
      <c r="AH19" s="5">
        <v>772.66</v>
      </c>
      <c r="AI19" s="4">
        <v>31</v>
      </c>
      <c r="AJ19" s="5">
        <v>51.14</v>
      </c>
      <c r="AK19" s="5">
        <v>26.21</v>
      </c>
      <c r="AL19" s="5">
        <v>1395.5</v>
      </c>
      <c r="AM19" s="5">
        <v>569.35</v>
      </c>
      <c r="AN19" s="5">
        <v>826.15</v>
      </c>
      <c r="AO19" s="4">
        <v>38</v>
      </c>
      <c r="AP19" s="5">
        <v>36.72</v>
      </c>
      <c r="AQ19" s="5">
        <v>14.98</v>
      </c>
      <c r="AR19" s="5">
        <v>190.8</v>
      </c>
      <c r="AS19" s="5">
        <v>72.25</v>
      </c>
      <c r="AT19" s="5">
        <v>118.55</v>
      </c>
      <c r="AU19" s="4">
        <v>6</v>
      </c>
      <c r="AV19" s="5">
        <v>31.8</v>
      </c>
      <c r="AW19" s="5">
        <v>12.04</v>
      </c>
      <c r="AX19" s="5">
        <v>4449.1</v>
      </c>
      <c r="AY19" s="5">
        <v>2725.15</v>
      </c>
      <c r="AZ19" s="5">
        <v>1723.95</v>
      </c>
      <c r="BA19" s="4">
        <v>179</v>
      </c>
      <c r="BB19" s="5">
        <v>111.2</v>
      </c>
      <c r="BC19" s="5">
        <v>49.94</v>
      </c>
      <c r="BD19" s="5">
        <v>61.26</v>
      </c>
      <c r="BE19" s="4">
        <v>69</v>
      </c>
      <c r="BF19" s="5">
        <v>92</v>
      </c>
      <c r="BG19" s="5">
        <v>966</v>
      </c>
      <c r="BH19" s="5">
        <v>0</v>
      </c>
      <c r="BI19" s="5">
        <v>0</v>
      </c>
      <c r="BJ19" s="5">
        <v>168.95</v>
      </c>
      <c r="BK19" s="5">
        <v>94</v>
      </c>
      <c r="BL19" s="5">
        <v>1454.14</v>
      </c>
      <c r="BM19" s="5">
        <v>2775.09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20.5</v>
      </c>
      <c r="CF19" s="5">
        <v>0</v>
      </c>
      <c r="CG19" s="5">
        <v>0</v>
      </c>
      <c r="CH19" s="5">
        <v>0</v>
      </c>
      <c r="CI19" s="5">
        <v>0</v>
      </c>
      <c r="CJ19" s="5">
        <v>8</v>
      </c>
      <c r="CK19" s="5">
        <v>0</v>
      </c>
      <c r="CL19" s="5">
        <v>0</v>
      </c>
      <c r="CM19" s="5">
        <v>0</v>
      </c>
      <c r="CN19" s="5">
        <v>9.4</v>
      </c>
      <c r="CO19" s="5">
        <v>29.95</v>
      </c>
      <c r="CP19" s="5">
        <v>0</v>
      </c>
      <c r="CQ19" s="5">
        <v>0</v>
      </c>
      <c r="CR19" s="5">
        <v>0</v>
      </c>
      <c r="CS19" s="5">
        <v>0</v>
      </c>
      <c r="CT19" s="5">
        <v>772.66</v>
      </c>
      <c r="CU19" s="5">
        <v>826.15</v>
      </c>
      <c r="CV19" s="5">
        <v>118.55</v>
      </c>
      <c r="CW19" s="5">
        <v>1785.21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</row>
    <row r="20" s="1" customFormat="1" spans="1:114">
      <c r="A20" s="3" t="s">
        <v>132</v>
      </c>
      <c r="B20" s="3" t="s">
        <v>18</v>
      </c>
      <c r="C20" s="3" t="s">
        <v>133</v>
      </c>
      <c r="D20" s="3" t="s">
        <v>154</v>
      </c>
      <c r="E20" s="4">
        <v>1</v>
      </c>
      <c r="F20" s="5">
        <v>7043.29</v>
      </c>
      <c r="G20" s="5">
        <v>2831.93</v>
      </c>
      <c r="H20" s="5">
        <v>4211.36</v>
      </c>
      <c r="I20" s="4">
        <v>170</v>
      </c>
      <c r="J20" s="4">
        <v>69</v>
      </c>
      <c r="K20" s="4">
        <v>11</v>
      </c>
      <c r="L20" s="5">
        <v>102.08</v>
      </c>
      <c r="M20" s="5">
        <v>61.03</v>
      </c>
      <c r="N20" s="5">
        <v>41.43</v>
      </c>
      <c r="O20" s="5">
        <v>24.77</v>
      </c>
      <c r="P20" s="6">
        <v>0.4783</v>
      </c>
      <c r="Q20" s="6">
        <v>0</v>
      </c>
      <c r="R20" s="6">
        <v>0.75</v>
      </c>
      <c r="S20" s="4">
        <v>1</v>
      </c>
      <c r="T20" s="5">
        <v>2106.6</v>
      </c>
      <c r="U20" s="5">
        <v>2020.74</v>
      </c>
      <c r="V20" s="5">
        <v>85.86</v>
      </c>
      <c r="W20" s="4">
        <v>60</v>
      </c>
      <c r="X20" s="5">
        <v>35.11</v>
      </c>
      <c r="Y20" s="5">
        <v>33.68</v>
      </c>
      <c r="Z20" s="5">
        <v>0</v>
      </c>
      <c r="AA20" s="5">
        <v>0</v>
      </c>
      <c r="AB20" s="5">
        <v>0</v>
      </c>
      <c r="AC20" s="4">
        <v>0</v>
      </c>
      <c r="AD20" s="5">
        <v>0</v>
      </c>
      <c r="AE20" s="5">
        <v>0</v>
      </c>
      <c r="AF20" s="5">
        <v>1781.1</v>
      </c>
      <c r="AG20" s="5">
        <v>846.42</v>
      </c>
      <c r="AH20" s="5">
        <v>934.68</v>
      </c>
      <c r="AI20" s="4">
        <v>39</v>
      </c>
      <c r="AJ20" s="5">
        <v>45.67</v>
      </c>
      <c r="AK20" s="5">
        <v>21.7</v>
      </c>
      <c r="AL20" s="5">
        <v>2956.8</v>
      </c>
      <c r="AM20" s="5">
        <v>1264.35</v>
      </c>
      <c r="AN20" s="5">
        <v>1692.45</v>
      </c>
      <c r="AO20" s="4">
        <v>65</v>
      </c>
      <c r="AP20" s="5">
        <v>45.49</v>
      </c>
      <c r="AQ20" s="5">
        <v>19.45</v>
      </c>
      <c r="AR20" s="5">
        <v>198.79</v>
      </c>
      <c r="AS20" s="5">
        <v>79.85</v>
      </c>
      <c r="AT20" s="5">
        <v>118.94</v>
      </c>
      <c r="AU20" s="4">
        <v>6</v>
      </c>
      <c r="AV20" s="5">
        <v>33.13</v>
      </c>
      <c r="AW20" s="5">
        <v>13.31</v>
      </c>
      <c r="AX20" s="5">
        <v>6890.19</v>
      </c>
      <c r="AY20" s="5">
        <v>4142.5</v>
      </c>
      <c r="AZ20" s="5">
        <v>2747.69</v>
      </c>
      <c r="BA20" s="4">
        <v>244</v>
      </c>
      <c r="BB20" s="5">
        <v>153.1</v>
      </c>
      <c r="BC20" s="5">
        <v>68.86</v>
      </c>
      <c r="BD20" s="5">
        <v>84.24</v>
      </c>
      <c r="BE20" s="4">
        <v>104</v>
      </c>
      <c r="BF20" s="5">
        <v>50</v>
      </c>
      <c r="BG20" s="5">
        <v>1368</v>
      </c>
      <c r="BH20" s="5">
        <v>58.08</v>
      </c>
      <c r="BI20" s="5">
        <v>216.86</v>
      </c>
      <c r="BJ20" s="5">
        <v>327.8</v>
      </c>
      <c r="BK20" s="5">
        <v>0</v>
      </c>
      <c r="BL20" s="5">
        <v>2190.62</v>
      </c>
      <c r="BM20" s="5">
        <v>4211.36</v>
      </c>
      <c r="BN20" s="5">
        <v>2.92</v>
      </c>
      <c r="BO20" s="5">
        <v>0</v>
      </c>
      <c r="BP20" s="5">
        <v>16.34</v>
      </c>
      <c r="BQ20" s="5">
        <v>0</v>
      </c>
      <c r="BR20" s="5">
        <v>0</v>
      </c>
      <c r="BS20" s="5">
        <v>6</v>
      </c>
      <c r="BT20" s="5">
        <v>5.2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30</v>
      </c>
      <c r="CF20" s="5">
        <v>0</v>
      </c>
      <c r="CG20" s="5">
        <v>0</v>
      </c>
      <c r="CH20" s="5">
        <v>0</v>
      </c>
      <c r="CI20" s="5">
        <v>0</v>
      </c>
      <c r="CJ20" s="5">
        <v>11</v>
      </c>
      <c r="CK20" s="5">
        <v>0</v>
      </c>
      <c r="CL20" s="5">
        <v>0</v>
      </c>
      <c r="CM20" s="5">
        <v>2</v>
      </c>
      <c r="CN20" s="5">
        <v>12.4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934.68</v>
      </c>
      <c r="CU20" s="5">
        <v>1692.45</v>
      </c>
      <c r="CV20" s="5">
        <v>118.94</v>
      </c>
      <c r="CW20" s="5">
        <v>2831.93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</row>
    <row r="21" spans="1:114">
      <c r="A21" s="3" t="s">
        <v>138</v>
      </c>
      <c r="B21" s="3" t="s">
        <v>19</v>
      </c>
      <c r="C21" s="3" t="s">
        <v>133</v>
      </c>
      <c r="D21" s="3" t="s">
        <v>155</v>
      </c>
      <c r="E21" s="4">
        <v>1</v>
      </c>
      <c r="F21" s="5">
        <v>9979.48</v>
      </c>
      <c r="G21" s="5">
        <v>4103.78</v>
      </c>
      <c r="H21" s="5">
        <v>5875.7</v>
      </c>
      <c r="I21" s="4">
        <v>179</v>
      </c>
      <c r="J21" s="4">
        <v>70</v>
      </c>
      <c r="K21" s="4">
        <v>17</v>
      </c>
      <c r="L21" s="5">
        <v>142.56</v>
      </c>
      <c r="M21" s="5">
        <v>83.94</v>
      </c>
      <c r="N21" s="5">
        <v>55.75</v>
      </c>
      <c r="O21" s="5">
        <v>32.83</v>
      </c>
      <c r="P21" s="6">
        <v>0.8947</v>
      </c>
      <c r="Q21" s="6">
        <v>0</v>
      </c>
      <c r="R21" s="6">
        <v>0.9211</v>
      </c>
      <c r="S21" s="4">
        <v>1</v>
      </c>
      <c r="T21" s="5">
        <v>3282.2</v>
      </c>
      <c r="U21" s="5">
        <v>2736.87</v>
      </c>
      <c r="V21" s="5">
        <v>545.33</v>
      </c>
      <c r="W21" s="4">
        <v>65</v>
      </c>
      <c r="X21" s="5">
        <v>50.5</v>
      </c>
      <c r="Y21" s="5">
        <v>42.11</v>
      </c>
      <c r="Z21" s="5">
        <v>0</v>
      </c>
      <c r="AA21" s="5">
        <v>0</v>
      </c>
      <c r="AB21" s="5">
        <v>0</v>
      </c>
      <c r="AC21" s="4">
        <v>0</v>
      </c>
      <c r="AD21" s="5">
        <v>0</v>
      </c>
      <c r="AE21" s="5">
        <v>0</v>
      </c>
      <c r="AF21" s="5">
        <v>4080.19</v>
      </c>
      <c r="AG21" s="5">
        <v>1980.31</v>
      </c>
      <c r="AH21" s="5">
        <v>2099.88</v>
      </c>
      <c r="AI21" s="4">
        <v>64</v>
      </c>
      <c r="AJ21" s="5">
        <v>63.75</v>
      </c>
      <c r="AK21" s="5">
        <v>30.94</v>
      </c>
      <c r="AL21" s="5">
        <v>2617.09</v>
      </c>
      <c r="AM21" s="5">
        <v>1158.52</v>
      </c>
      <c r="AN21" s="5">
        <v>1458.57</v>
      </c>
      <c r="AO21" s="4">
        <v>50</v>
      </c>
      <c r="AP21" s="5">
        <v>52.34</v>
      </c>
      <c r="AQ21" s="5">
        <v>23.17</v>
      </c>
      <c r="AR21" s="5">
        <v>0</v>
      </c>
      <c r="AS21" s="5">
        <v>0</v>
      </c>
      <c r="AT21" s="5">
        <v>0</v>
      </c>
      <c r="AU21" s="4">
        <v>0</v>
      </c>
      <c r="AV21" s="5">
        <v>0</v>
      </c>
      <c r="AW21" s="5">
        <v>0</v>
      </c>
      <c r="AX21" s="5">
        <v>9887.78</v>
      </c>
      <c r="AY21" s="5">
        <v>5826.8</v>
      </c>
      <c r="AZ21" s="5">
        <v>4060.98</v>
      </c>
      <c r="BA21" s="7">
        <v>258.1</v>
      </c>
      <c r="BB21" s="5">
        <v>91.7</v>
      </c>
      <c r="BC21" s="5">
        <v>48.9</v>
      </c>
      <c r="BD21" s="5">
        <v>42.8</v>
      </c>
      <c r="BE21" s="4">
        <v>72</v>
      </c>
      <c r="BF21" s="5">
        <v>40</v>
      </c>
      <c r="BG21" s="5">
        <v>1844</v>
      </c>
      <c r="BH21" s="5">
        <v>2.09</v>
      </c>
      <c r="BI21" s="5">
        <v>503.38</v>
      </c>
      <c r="BJ21" s="5">
        <v>339.4</v>
      </c>
      <c r="BK21" s="5">
        <v>8</v>
      </c>
      <c r="BL21" s="5">
        <v>3138.83</v>
      </c>
      <c r="BM21" s="5">
        <v>5875.7</v>
      </c>
      <c r="BN21" s="5">
        <v>0.11</v>
      </c>
      <c r="BO21" s="5">
        <v>8</v>
      </c>
      <c r="BP21" s="5">
        <v>0</v>
      </c>
      <c r="BQ21" s="5">
        <v>0</v>
      </c>
      <c r="BR21" s="5">
        <v>15.2</v>
      </c>
      <c r="BS21" s="5">
        <v>0</v>
      </c>
      <c r="BT21" s="5">
        <v>0</v>
      </c>
      <c r="BU21" s="5">
        <v>120.6</v>
      </c>
      <c r="BV21" s="5">
        <v>0</v>
      </c>
      <c r="BW21" s="5">
        <v>97.8</v>
      </c>
      <c r="BX21" s="5">
        <v>90</v>
      </c>
      <c r="BY21" s="5">
        <v>25.02</v>
      </c>
      <c r="BZ21" s="5">
        <v>0</v>
      </c>
      <c r="CA21" s="5">
        <v>0</v>
      </c>
      <c r="CB21" s="5">
        <v>0</v>
      </c>
      <c r="CC21" s="5">
        <v>15</v>
      </c>
      <c r="CD21" s="5">
        <v>0</v>
      </c>
      <c r="CE21" s="5">
        <v>0</v>
      </c>
      <c r="CF21" s="5">
        <v>81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50.4</v>
      </c>
      <c r="CR21" s="5">
        <v>0</v>
      </c>
      <c r="CS21" s="5">
        <v>3.2</v>
      </c>
      <c r="CT21" s="5">
        <v>2099.88</v>
      </c>
      <c r="CU21" s="5">
        <v>1458.57</v>
      </c>
      <c r="CV21" s="5">
        <v>0</v>
      </c>
      <c r="CW21" s="5">
        <v>4064.78</v>
      </c>
      <c r="CX21" s="5">
        <v>0</v>
      </c>
      <c r="CY21" s="5">
        <v>12.8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23.2</v>
      </c>
      <c r="DG21" s="5">
        <v>3</v>
      </c>
      <c r="DH21" s="5">
        <v>0</v>
      </c>
      <c r="DI21" s="5">
        <v>0</v>
      </c>
      <c r="DJ21" s="5">
        <v>39</v>
      </c>
    </row>
  </sheetData>
  <mergeCells count="47">
    <mergeCell ref="T1:AW1"/>
    <mergeCell ref="AX1:BE1"/>
    <mergeCell ref="BF1:BM1"/>
    <mergeCell ref="BN1:CW1"/>
    <mergeCell ref="CX1:DJ1"/>
    <mergeCell ref="T2:Y2"/>
    <mergeCell ref="Z2:AE2"/>
    <mergeCell ref="AF2:AK2"/>
    <mergeCell ref="AL2:AQ2"/>
    <mergeCell ref="AR2:AW2"/>
    <mergeCell ref="AX2:BA2"/>
    <mergeCell ref="BB2:BE2"/>
    <mergeCell ref="BO2:CB2"/>
    <mergeCell ref="CC2:CS2"/>
    <mergeCell ref="CT2:CV2"/>
    <mergeCell ref="CX2:DC2"/>
    <mergeCell ref="DD2:DE2"/>
    <mergeCell ref="DF2:DG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BF2:BF3"/>
    <mergeCell ref="BG2:BG3"/>
    <mergeCell ref="BH2:BH3"/>
    <mergeCell ref="BI2:BI3"/>
    <mergeCell ref="BJ2:BJ3"/>
    <mergeCell ref="BK2:BK3"/>
    <mergeCell ref="BL2:BL3"/>
    <mergeCell ref="BM2:BM3"/>
    <mergeCell ref="CW2:CW3"/>
    <mergeCell ref="DJ2:D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门店</vt:lpstr>
      <vt:lpstr>看板表</vt:lpstr>
      <vt:lpstr>数据源表A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代文皓</cp:lastModifiedBy>
  <dcterms:created xsi:type="dcterms:W3CDTF">2025-02-24T07:52:00Z</dcterms:created>
  <dcterms:modified xsi:type="dcterms:W3CDTF">2026-07-16T02:20:09Z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D5A78683E6B4440581E952B2165258F0_13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